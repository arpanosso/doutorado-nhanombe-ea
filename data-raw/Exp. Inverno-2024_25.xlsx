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4Nn\Downloads\redados\"/>
    </mc:Choice>
  </mc:AlternateContent>
  <xr:revisionPtr revIDLastSave="0" documentId="13_ncr:1_{253E1646-13A6-4CA0-95F4-E6F7B7026FC9}" xr6:coauthVersionLast="47" xr6:coauthVersionMax="47" xr10:uidLastSave="{00000000-0000-0000-0000-000000000000}"/>
  <bookViews>
    <workbookView xWindow="-120" yWindow="-120" windowWidth="20730" windowHeight="11040" xr2:uid="{2131929A-0A56-4A5C-A1CF-099A70D1C0C7}"/>
  </bookViews>
  <sheets>
    <sheet name="Dataset_pl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0" l="1"/>
  <c r="K3" i="10"/>
  <c r="J3" i="10"/>
  <c r="K10" i="10"/>
  <c r="J9" i="10"/>
  <c r="J5" i="10"/>
  <c r="J2" i="10"/>
  <c r="Q55" i="10"/>
  <c r="L55" i="10"/>
  <c r="N55" i="10" s="1"/>
  <c r="K55" i="10"/>
  <c r="Q54" i="10"/>
  <c r="L54" i="10"/>
  <c r="M54" i="10" s="1"/>
  <c r="K54" i="10"/>
  <c r="J54" i="10"/>
  <c r="Q53" i="10"/>
  <c r="L53" i="10"/>
  <c r="K53" i="10"/>
  <c r="J53" i="10"/>
  <c r="Q52" i="10"/>
  <c r="L52" i="10"/>
  <c r="N52" i="10" s="1"/>
  <c r="K52" i="10"/>
  <c r="Q51" i="10"/>
  <c r="L51" i="10"/>
  <c r="N51" i="10" s="1"/>
  <c r="K51" i="10"/>
  <c r="J51" i="10"/>
  <c r="Q50" i="10"/>
  <c r="L50" i="10"/>
  <c r="K50" i="10"/>
  <c r="J50" i="10"/>
  <c r="Q49" i="10"/>
  <c r="L49" i="10"/>
  <c r="N49" i="10" s="1"/>
  <c r="K49" i="10"/>
  <c r="Q48" i="10"/>
  <c r="L48" i="10"/>
  <c r="N48" i="10" s="1"/>
  <c r="K48" i="10"/>
  <c r="J48" i="10"/>
  <c r="Q47" i="10"/>
  <c r="L47" i="10"/>
  <c r="K47" i="10"/>
  <c r="J47" i="10"/>
  <c r="Q46" i="10"/>
  <c r="L46" i="10"/>
  <c r="N46" i="10" s="1"/>
  <c r="K46" i="10"/>
  <c r="Q45" i="10"/>
  <c r="L45" i="10"/>
  <c r="N45" i="10" s="1"/>
  <c r="K45" i="10"/>
  <c r="J45" i="10"/>
  <c r="Q44" i="10"/>
  <c r="L44" i="10"/>
  <c r="K44" i="10"/>
  <c r="J44" i="10"/>
  <c r="Q43" i="10"/>
  <c r="L43" i="10"/>
  <c r="N43" i="10" s="1"/>
  <c r="K43" i="10"/>
  <c r="Q42" i="10"/>
  <c r="L42" i="10"/>
  <c r="N42" i="10" s="1"/>
  <c r="K42" i="10"/>
  <c r="J42" i="10"/>
  <c r="Q41" i="10"/>
  <c r="L41" i="10"/>
  <c r="K41" i="10"/>
  <c r="J41" i="10"/>
  <c r="Q40" i="10"/>
  <c r="L40" i="10"/>
  <c r="N40" i="10" s="1"/>
  <c r="K40" i="10"/>
  <c r="Q39" i="10"/>
  <c r="L39" i="10"/>
  <c r="N39" i="10" s="1"/>
  <c r="K39" i="10"/>
  <c r="J39" i="10"/>
  <c r="Q38" i="10"/>
  <c r="L38" i="10"/>
  <c r="K38" i="10"/>
  <c r="J38" i="10"/>
  <c r="Q37" i="10"/>
  <c r="L37" i="10"/>
  <c r="N37" i="10" s="1"/>
  <c r="K37" i="10"/>
  <c r="Q36" i="10"/>
  <c r="L36" i="10"/>
  <c r="N36" i="10" s="1"/>
  <c r="K36" i="10"/>
  <c r="J36" i="10"/>
  <c r="Q35" i="10"/>
  <c r="L35" i="10"/>
  <c r="K35" i="10"/>
  <c r="J35" i="10"/>
  <c r="Q34" i="10"/>
  <c r="L34" i="10"/>
  <c r="N34" i="10" s="1"/>
  <c r="K34" i="10"/>
  <c r="Q33" i="10"/>
  <c r="L33" i="10"/>
  <c r="N33" i="10" s="1"/>
  <c r="K33" i="10"/>
  <c r="J33" i="10"/>
  <c r="Q32" i="10"/>
  <c r="L32" i="10"/>
  <c r="K32" i="10"/>
  <c r="J32" i="10"/>
  <c r="Q31" i="10"/>
  <c r="L31" i="10"/>
  <c r="N31" i="10" s="1"/>
  <c r="K31" i="10"/>
  <c r="Q30" i="10"/>
  <c r="L30" i="10"/>
  <c r="N30" i="10" s="1"/>
  <c r="K30" i="10"/>
  <c r="J30" i="10"/>
  <c r="Q29" i="10"/>
  <c r="L29" i="10"/>
  <c r="K29" i="10"/>
  <c r="J29" i="10"/>
  <c r="Q28" i="10"/>
  <c r="L28" i="10"/>
  <c r="N28" i="10" s="1"/>
  <c r="K28" i="10"/>
  <c r="Q27" i="10"/>
  <c r="L27" i="10"/>
  <c r="N27" i="10" s="1"/>
  <c r="K27" i="10"/>
  <c r="J27" i="10"/>
  <c r="Q26" i="10"/>
  <c r="L26" i="10"/>
  <c r="K26" i="10"/>
  <c r="J26" i="10"/>
  <c r="Q25" i="10"/>
  <c r="L25" i="10"/>
  <c r="N25" i="10" s="1"/>
  <c r="K25" i="10"/>
  <c r="Q24" i="10"/>
  <c r="L24" i="10"/>
  <c r="N24" i="10" s="1"/>
  <c r="K24" i="10"/>
  <c r="J24" i="10"/>
  <c r="Q23" i="10"/>
  <c r="L23" i="10"/>
  <c r="K23" i="10"/>
  <c r="J23" i="10"/>
  <c r="Q22" i="10"/>
  <c r="L22" i="10"/>
  <c r="N22" i="10" s="1"/>
  <c r="K22" i="10"/>
  <c r="Q21" i="10"/>
  <c r="L21" i="10"/>
  <c r="M21" i="10" s="1"/>
  <c r="K21" i="10"/>
  <c r="J21" i="10"/>
  <c r="Q20" i="10"/>
  <c r="L20" i="10"/>
  <c r="K20" i="10"/>
  <c r="J20" i="10"/>
  <c r="Q19" i="10"/>
  <c r="L19" i="10"/>
  <c r="N19" i="10" s="1"/>
  <c r="K19" i="10"/>
  <c r="Q18" i="10"/>
  <c r="L18" i="10"/>
  <c r="N18" i="10" s="1"/>
  <c r="K18" i="10"/>
  <c r="J18" i="10"/>
  <c r="Q17" i="10"/>
  <c r="L17" i="10"/>
  <c r="K17" i="10"/>
  <c r="J17" i="10"/>
  <c r="Q16" i="10"/>
  <c r="L16" i="10"/>
  <c r="N16" i="10" s="1"/>
  <c r="K16" i="10"/>
  <c r="Q15" i="10"/>
  <c r="L15" i="10"/>
  <c r="N15" i="10" s="1"/>
  <c r="K15" i="10"/>
  <c r="J15" i="10"/>
  <c r="Q14" i="10"/>
  <c r="L14" i="10"/>
  <c r="K14" i="10"/>
  <c r="J14" i="10"/>
  <c r="Q13" i="10"/>
  <c r="L13" i="10"/>
  <c r="N13" i="10" s="1"/>
  <c r="K13" i="10"/>
  <c r="Q12" i="10"/>
  <c r="L12" i="10"/>
  <c r="N12" i="10" s="1"/>
  <c r="K12" i="10"/>
  <c r="J12" i="10"/>
  <c r="Q11" i="10"/>
  <c r="L11" i="10"/>
  <c r="K11" i="10"/>
  <c r="J11" i="10"/>
  <c r="Q10" i="10"/>
  <c r="L10" i="10"/>
  <c r="N10" i="10" s="1"/>
  <c r="Q9" i="10"/>
  <c r="L9" i="10"/>
  <c r="N9" i="10" s="1"/>
  <c r="K9" i="10"/>
  <c r="Q8" i="10"/>
  <c r="L8" i="10"/>
  <c r="K8" i="10"/>
  <c r="J8" i="10"/>
  <c r="Q7" i="10"/>
  <c r="L7" i="10"/>
  <c r="N7" i="10" s="1"/>
  <c r="K7" i="10"/>
  <c r="Q6" i="10"/>
  <c r="L6" i="10"/>
  <c r="M6" i="10" s="1"/>
  <c r="K6" i="10"/>
  <c r="J6" i="10"/>
  <c r="Q5" i="10"/>
  <c r="L5" i="10"/>
  <c r="K5" i="10"/>
  <c r="Q4" i="10"/>
  <c r="L4" i="10"/>
  <c r="N4" i="10" s="1"/>
  <c r="K4" i="10"/>
  <c r="Q3" i="10"/>
  <c r="L3" i="10"/>
  <c r="M3" i="10" s="1"/>
  <c r="L2" i="10"/>
  <c r="M2" i="10" s="1"/>
  <c r="K2" i="10"/>
  <c r="N6" i="10" l="1"/>
  <c r="M5" i="10"/>
  <c r="M8" i="10"/>
  <c r="M11" i="10"/>
  <c r="M14" i="10"/>
  <c r="M17" i="10"/>
  <c r="M20" i="10"/>
  <c r="M23" i="10"/>
  <c r="M26" i="10"/>
  <c r="M29" i="10"/>
  <c r="M32" i="10"/>
  <c r="M35" i="10"/>
  <c r="M38" i="10"/>
  <c r="M41" i="10"/>
  <c r="M44" i="10"/>
  <c r="M47" i="10"/>
  <c r="M50" i="10"/>
  <c r="M53" i="10"/>
  <c r="N2" i="10"/>
  <c r="J4" i="10"/>
  <c r="N5" i="10"/>
  <c r="J7" i="10"/>
  <c r="N8" i="10"/>
  <c r="J10" i="10"/>
  <c r="N11" i="10"/>
  <c r="J13" i="10"/>
  <c r="N14" i="10"/>
  <c r="J16" i="10"/>
  <c r="N17" i="10"/>
  <c r="J19" i="10"/>
  <c r="N20" i="10"/>
  <c r="J22" i="10"/>
  <c r="N23" i="10"/>
  <c r="J25" i="10"/>
  <c r="N26" i="10"/>
  <c r="J28" i="10"/>
  <c r="N29" i="10"/>
  <c r="J31" i="10"/>
  <c r="N32" i="10"/>
  <c r="J34" i="10"/>
  <c r="N35" i="10"/>
  <c r="J37" i="10"/>
  <c r="N38" i="10"/>
  <c r="J40" i="10"/>
  <c r="N41" i="10"/>
  <c r="J43" i="10"/>
  <c r="N44" i="10"/>
  <c r="J46" i="10"/>
  <c r="N47" i="10"/>
  <c r="J49" i="10"/>
  <c r="N50" i="10"/>
  <c r="J52" i="10"/>
  <c r="N53" i="10"/>
  <c r="J55" i="10"/>
  <c r="M12" i="10"/>
  <c r="M15" i="10"/>
  <c r="M18" i="10"/>
  <c r="M27" i="10"/>
  <c r="M30" i="10"/>
  <c r="M39" i="10"/>
  <c r="M48" i="10"/>
  <c r="N3" i="10"/>
  <c r="N21" i="10"/>
  <c r="N54" i="10"/>
  <c r="M4" i="10"/>
  <c r="M7" i="10"/>
  <c r="M10" i="10"/>
  <c r="M13" i="10"/>
  <c r="M16" i="10"/>
  <c r="M19" i="10"/>
  <c r="M22" i="10"/>
  <c r="M25" i="10"/>
  <c r="M28" i="10"/>
  <c r="M31" i="10"/>
  <c r="M34" i="10"/>
  <c r="M37" i="10"/>
  <c r="M40" i="10"/>
  <c r="M43" i="10"/>
  <c r="M46" i="10"/>
  <c r="M49" i="10"/>
  <c r="M52" i="10"/>
  <c r="M55" i="10"/>
  <c r="M9" i="10"/>
  <c r="M24" i="10"/>
  <c r="M33" i="10"/>
  <c r="M42" i="10"/>
  <c r="M51" i="10"/>
  <c r="M36" i="10"/>
  <c r="M45" i="10"/>
</calcChain>
</file>

<file path=xl/sharedStrings.xml><?xml version="1.0" encoding="utf-8"?>
<sst xmlns="http://schemas.openxmlformats.org/spreadsheetml/2006/main" count="18" uniqueCount="18">
  <si>
    <t>Bloco</t>
  </si>
  <si>
    <t>PT</t>
  </si>
  <si>
    <t>PC</t>
  </si>
  <si>
    <t>PNC</t>
  </si>
  <si>
    <t>NRT</t>
  </si>
  <si>
    <t>NRC</t>
  </si>
  <si>
    <t>NRNC</t>
  </si>
  <si>
    <t>Designação</t>
  </si>
  <si>
    <t>MSR (100 g)</t>
  </si>
  <si>
    <t>MSPA (1000 g)</t>
  </si>
  <si>
    <t>TMS (%)</t>
  </si>
  <si>
    <t>PTMS (kg/há)</t>
  </si>
  <si>
    <t>MR</t>
  </si>
  <si>
    <t>MRC</t>
  </si>
  <si>
    <t>PTMS</t>
  </si>
  <si>
    <t>TMSPA (%)</t>
  </si>
  <si>
    <t>Brix (%)</t>
  </si>
  <si>
    <t>MFPA (kg/pl)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</si>
</sst>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4" fontId="2" fillId="0" borderId="0" xfId="0" applyNumberFormat="1" applyFont="1"/>
    <xf numFmtId="0" fontId="1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164" fontId="2" fillId="0" borderId="2" xfId="0" applyNumberFormat="1" applyFont="1" applyBorder="1"/>
    <xf numFmtId="0" fontId="1" fillId="0" borderId="3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F9B3-3F2A-49AE-BABC-62E73FC88DF6}">
  <dimension ref="A1:R55"/>
  <sheetViews>
    <sheetView tabSelected="1" workbookViewId="0">
      <selection sqref="A1:A1048576"/>
    </sheetView>
  </sheetViews>
  <sheetFormatPr defaultRowHeight="15" x14ac:dyDescent="0.25"/>
  <cols>
    <col min="14" max="14" width="11.7109375" bestFit="1" customWidth="1"/>
    <col min="15" max="15" width="8.85546875"/>
    <col min="16" max="16" width="12.7109375" bestFit="1" customWidth="1"/>
    <col min="19" max="19" width="10.5703125" bestFit="1" customWidth="1"/>
  </cols>
  <sheetData>
    <row r="1" spans="1:18" x14ac:dyDescent="0.25">
      <c r="A1" s="4" t="s">
        <v>7</v>
      </c>
      <c r="B1" s="4" t="s">
        <v>0</v>
      </c>
      <c r="C1" s="11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8</v>
      </c>
      <c r="J1" s="4" t="s">
        <v>12</v>
      </c>
      <c r="K1" s="4" t="s">
        <v>13</v>
      </c>
      <c r="L1" s="4" t="s">
        <v>10</v>
      </c>
      <c r="M1" s="4" t="s">
        <v>14</v>
      </c>
      <c r="N1" s="4" t="s">
        <v>11</v>
      </c>
      <c r="O1" s="4" t="s">
        <v>17</v>
      </c>
      <c r="P1" s="4" t="s">
        <v>9</v>
      </c>
      <c r="Q1" s="2" t="s">
        <v>15</v>
      </c>
      <c r="R1" s="10" t="s">
        <v>16</v>
      </c>
    </row>
    <row r="2" spans="1:18" x14ac:dyDescent="0.25">
      <c r="A2" s="5">
        <v>1</v>
      </c>
      <c r="B2" s="5">
        <v>1</v>
      </c>
      <c r="C2" s="6">
        <v>1.2</v>
      </c>
      <c r="D2" s="6">
        <v>1</v>
      </c>
      <c r="E2" s="6">
        <v>0.2</v>
      </c>
      <c r="F2" s="6">
        <v>4.75</v>
      </c>
      <c r="G2" s="6">
        <v>3.75</v>
      </c>
      <c r="H2" s="6">
        <v>1</v>
      </c>
      <c r="I2" s="6">
        <v>0.02</v>
      </c>
      <c r="J2" s="6">
        <f t="shared" ref="J2:J34" si="0">C2/F2</f>
        <v>0.25263157894736843</v>
      </c>
      <c r="K2" s="6">
        <f t="shared" ref="K2:K34" si="1">D2/G2</f>
        <v>0.26666666666666666</v>
      </c>
      <c r="L2" s="6">
        <f t="shared" ref="L2:L33" si="2">(I2/0.1)*100</f>
        <v>20</v>
      </c>
      <c r="M2" s="6">
        <f t="shared" ref="M2:M33" si="3">(C2*L2)/100</f>
        <v>0.24</v>
      </c>
      <c r="N2" s="6">
        <f t="shared" ref="N2:N33" si="4">(((C2/4)*L2)/100)*37878</f>
        <v>2272.6799999999998</v>
      </c>
      <c r="O2" s="6">
        <v>1.4537500000000001</v>
      </c>
      <c r="P2" s="6">
        <v>0.14499999999999999</v>
      </c>
      <c r="Q2" s="6">
        <f t="shared" ref="Q2:Q33" si="5">(P2/1)*100</f>
        <v>14.499999999999998</v>
      </c>
      <c r="R2" s="1">
        <v>9.1</v>
      </c>
    </row>
    <row r="3" spans="1:18" x14ac:dyDescent="0.25">
      <c r="A3">
        <v>1</v>
      </c>
      <c r="B3">
        <v>2</v>
      </c>
      <c r="C3" s="1">
        <v>1.325</v>
      </c>
      <c r="D3" s="1">
        <v>1.125</v>
      </c>
      <c r="E3" s="1">
        <v>0.2</v>
      </c>
      <c r="F3" s="1">
        <v>5.75</v>
      </c>
      <c r="G3" s="1">
        <v>5.25</v>
      </c>
      <c r="H3" s="1">
        <v>0.5</v>
      </c>
      <c r="I3" s="1">
        <v>2.5000000000000001E-2</v>
      </c>
      <c r="J3" s="1">
        <f t="shared" si="0"/>
        <v>0.23043478260869565</v>
      </c>
      <c r="K3" s="1">
        <f t="shared" si="1"/>
        <v>0.21428571428571427</v>
      </c>
      <c r="L3" s="1">
        <f t="shared" si="2"/>
        <v>25</v>
      </c>
      <c r="M3" s="1">
        <f t="shared" si="3"/>
        <v>0.33124999999999999</v>
      </c>
      <c r="N3" s="1">
        <f t="shared" si="4"/>
        <v>3136.7718749999999</v>
      </c>
      <c r="O3" s="1">
        <v>0.63875000000000004</v>
      </c>
      <c r="P3" s="1">
        <v>0.14499999999999999</v>
      </c>
      <c r="Q3" s="1">
        <f t="shared" si="5"/>
        <v>14.499999999999998</v>
      </c>
      <c r="R3" s="1">
        <v>8.1999999999999993</v>
      </c>
    </row>
    <row r="4" spans="1:18" x14ac:dyDescent="0.25">
      <c r="A4" s="7">
        <v>1</v>
      </c>
      <c r="B4" s="7">
        <v>3</v>
      </c>
      <c r="C4" s="1">
        <v>1.1599999999999999</v>
      </c>
      <c r="D4" s="8">
        <v>1.1174999999999999</v>
      </c>
      <c r="E4" s="8">
        <v>4.2500000000000003E-2</v>
      </c>
      <c r="F4" s="1">
        <v>5</v>
      </c>
      <c r="G4" s="8">
        <v>4</v>
      </c>
      <c r="H4" s="8">
        <v>1</v>
      </c>
      <c r="I4" s="8">
        <v>0.02</v>
      </c>
      <c r="J4" s="1">
        <f t="shared" si="0"/>
        <v>0.23199999999999998</v>
      </c>
      <c r="K4" s="1">
        <f t="shared" si="1"/>
        <v>0.27937499999999998</v>
      </c>
      <c r="L4" s="8">
        <f t="shared" si="2"/>
        <v>20</v>
      </c>
      <c r="M4" s="1">
        <f t="shared" si="3"/>
        <v>0.23199999999999998</v>
      </c>
      <c r="N4" s="1">
        <f t="shared" si="4"/>
        <v>2196.924</v>
      </c>
      <c r="O4" s="8">
        <v>1.40625</v>
      </c>
      <c r="P4" s="8">
        <v>0.14000000000000001</v>
      </c>
      <c r="Q4" s="8">
        <f t="shared" si="5"/>
        <v>14.000000000000002</v>
      </c>
      <c r="R4" s="8">
        <v>9</v>
      </c>
    </row>
    <row r="5" spans="1:18" x14ac:dyDescent="0.25">
      <c r="A5" s="5">
        <v>2</v>
      </c>
      <c r="B5" s="5">
        <v>1</v>
      </c>
      <c r="C5" s="6">
        <v>1.0125</v>
      </c>
      <c r="D5" s="6">
        <v>0.88749999999999996</v>
      </c>
      <c r="E5" s="6">
        <v>0.125</v>
      </c>
      <c r="F5" s="6">
        <v>3.25</v>
      </c>
      <c r="G5" s="6">
        <v>3</v>
      </c>
      <c r="H5" s="6">
        <v>0.25</v>
      </c>
      <c r="I5" s="6">
        <v>2.5000000000000001E-2</v>
      </c>
      <c r="J5" s="6">
        <f t="shared" si="0"/>
        <v>0.31153846153846154</v>
      </c>
      <c r="K5" s="6">
        <f t="shared" si="1"/>
        <v>0.29583333333333334</v>
      </c>
      <c r="L5" s="6">
        <f t="shared" si="2"/>
        <v>25</v>
      </c>
      <c r="M5" s="6">
        <f t="shared" si="3"/>
        <v>0.25312499999999999</v>
      </c>
      <c r="N5" s="6">
        <f t="shared" si="4"/>
        <v>2396.9671874999999</v>
      </c>
      <c r="O5" s="6">
        <v>0.25750000000000001</v>
      </c>
      <c r="P5" s="6">
        <v>0.17499999999999999</v>
      </c>
      <c r="Q5" s="1">
        <f t="shared" si="5"/>
        <v>17.5</v>
      </c>
      <c r="R5" s="1">
        <v>11</v>
      </c>
    </row>
    <row r="6" spans="1:18" x14ac:dyDescent="0.25">
      <c r="A6">
        <v>2</v>
      </c>
      <c r="B6">
        <v>2</v>
      </c>
      <c r="C6" s="1">
        <v>0.65</v>
      </c>
      <c r="D6" s="1">
        <v>0.55000000000000004</v>
      </c>
      <c r="E6" s="1">
        <v>0.1</v>
      </c>
      <c r="F6" s="1">
        <v>2.25</v>
      </c>
      <c r="G6" s="1">
        <v>1.75</v>
      </c>
      <c r="H6" s="1">
        <v>0.5</v>
      </c>
      <c r="I6" s="1">
        <v>2.5000000000000001E-2</v>
      </c>
      <c r="J6" s="1">
        <f t="shared" si="0"/>
        <v>0.28888888888888892</v>
      </c>
      <c r="K6" s="1">
        <f t="shared" si="1"/>
        <v>0.31428571428571433</v>
      </c>
      <c r="L6" s="1">
        <f t="shared" si="2"/>
        <v>25</v>
      </c>
      <c r="M6" s="1">
        <f t="shared" si="3"/>
        <v>0.16250000000000001</v>
      </c>
      <c r="N6" s="1">
        <f t="shared" si="4"/>
        <v>1538.79375</v>
      </c>
      <c r="O6" s="1">
        <v>0.54</v>
      </c>
      <c r="P6" s="1">
        <v>0.185</v>
      </c>
      <c r="Q6" s="1">
        <f t="shared" si="5"/>
        <v>18.5</v>
      </c>
      <c r="R6" s="1">
        <v>9.5</v>
      </c>
    </row>
    <row r="7" spans="1:18" x14ac:dyDescent="0.25">
      <c r="A7" s="7">
        <v>2</v>
      </c>
      <c r="B7" s="7">
        <v>3</v>
      </c>
      <c r="C7" s="1">
        <v>0.26</v>
      </c>
      <c r="D7" s="8">
        <v>0.26</v>
      </c>
      <c r="E7" s="8">
        <v>0</v>
      </c>
      <c r="F7" s="1">
        <v>1.25</v>
      </c>
      <c r="G7" s="8">
        <v>1.25</v>
      </c>
      <c r="H7" s="8">
        <v>0</v>
      </c>
      <c r="I7" s="8">
        <v>2.5000000000000001E-2</v>
      </c>
      <c r="J7" s="1">
        <f t="shared" si="0"/>
        <v>0.20800000000000002</v>
      </c>
      <c r="K7" s="1">
        <f t="shared" si="1"/>
        <v>0.20800000000000002</v>
      </c>
      <c r="L7" s="8">
        <f t="shared" si="2"/>
        <v>25</v>
      </c>
      <c r="M7" s="1">
        <f t="shared" si="3"/>
        <v>6.5000000000000002E-2</v>
      </c>
      <c r="N7" s="1">
        <f t="shared" si="4"/>
        <v>615.51750000000004</v>
      </c>
      <c r="O7" s="8">
        <v>0.21249999999999999</v>
      </c>
      <c r="P7" s="8">
        <v>0.155</v>
      </c>
      <c r="Q7" s="8">
        <f t="shared" si="5"/>
        <v>15.5</v>
      </c>
      <c r="R7" s="8">
        <v>7.7</v>
      </c>
    </row>
    <row r="8" spans="1:18" x14ac:dyDescent="0.25">
      <c r="A8" s="5">
        <v>3</v>
      </c>
      <c r="B8" s="5">
        <v>1</v>
      </c>
      <c r="C8" s="6">
        <v>1.3912499999999999</v>
      </c>
      <c r="D8" s="6">
        <v>1.30375</v>
      </c>
      <c r="E8" s="6">
        <v>8.7499999999999994E-2</v>
      </c>
      <c r="F8" s="6">
        <v>4.5</v>
      </c>
      <c r="G8" s="6">
        <v>4</v>
      </c>
      <c r="H8" s="6">
        <v>0.5</v>
      </c>
      <c r="I8" s="6">
        <v>2.5000000000000001E-2</v>
      </c>
      <c r="J8" s="6">
        <f t="shared" si="0"/>
        <v>0.30916666666666665</v>
      </c>
      <c r="K8" s="6">
        <f t="shared" si="1"/>
        <v>0.32593749999999999</v>
      </c>
      <c r="L8" s="6">
        <f t="shared" si="2"/>
        <v>25</v>
      </c>
      <c r="M8" s="6">
        <f t="shared" si="3"/>
        <v>0.34781250000000002</v>
      </c>
      <c r="N8" s="6">
        <f t="shared" si="4"/>
        <v>3293.6104687500001</v>
      </c>
      <c r="O8" s="6">
        <v>0.79249999999999998</v>
      </c>
      <c r="P8" s="6">
        <v>0.17499999999999999</v>
      </c>
      <c r="Q8" s="1">
        <f t="shared" si="5"/>
        <v>17.5</v>
      </c>
      <c r="R8" s="1">
        <v>9.6999999999999993</v>
      </c>
    </row>
    <row r="9" spans="1:18" x14ac:dyDescent="0.25">
      <c r="A9">
        <v>3</v>
      </c>
      <c r="B9">
        <v>2</v>
      </c>
      <c r="C9" s="1">
        <v>1.4674999999999998</v>
      </c>
      <c r="D9" s="1">
        <v>1.3174999999999999</v>
      </c>
      <c r="E9" s="1">
        <v>0.15</v>
      </c>
      <c r="F9" s="1">
        <v>7</v>
      </c>
      <c r="G9" s="1">
        <v>6.25</v>
      </c>
      <c r="H9" s="1">
        <v>0.75</v>
      </c>
      <c r="I9" s="1">
        <v>0.03</v>
      </c>
      <c r="J9" s="1">
        <f t="shared" si="0"/>
        <v>0.2096428571428571</v>
      </c>
      <c r="K9" s="1">
        <f t="shared" si="1"/>
        <v>0.21079999999999999</v>
      </c>
      <c r="L9" s="1">
        <f t="shared" si="2"/>
        <v>30</v>
      </c>
      <c r="M9" s="1">
        <f t="shared" si="3"/>
        <v>0.44024999999999992</v>
      </c>
      <c r="N9" s="1">
        <f t="shared" si="4"/>
        <v>4168.9473749999988</v>
      </c>
      <c r="O9" s="1">
        <v>0.77249999999999996</v>
      </c>
      <c r="P9" s="1">
        <v>0.17</v>
      </c>
      <c r="Q9" s="1">
        <f t="shared" si="5"/>
        <v>17</v>
      </c>
      <c r="R9" s="1">
        <v>10.199999999999999</v>
      </c>
    </row>
    <row r="10" spans="1:18" x14ac:dyDescent="0.25">
      <c r="A10" s="7">
        <v>3</v>
      </c>
      <c r="B10" s="7">
        <v>3</v>
      </c>
      <c r="C10" s="1">
        <v>1.575</v>
      </c>
      <c r="D10" s="8">
        <v>1.4724999999999999</v>
      </c>
      <c r="E10" s="8">
        <v>0.10249999999999999</v>
      </c>
      <c r="F10" s="1">
        <v>11.5</v>
      </c>
      <c r="G10" s="8">
        <v>7.75</v>
      </c>
      <c r="H10" s="8">
        <v>3.75</v>
      </c>
      <c r="I10" s="8">
        <v>2.5000000000000001E-2</v>
      </c>
      <c r="J10" s="1">
        <f t="shared" si="0"/>
        <v>0.13695652173913042</v>
      </c>
      <c r="K10" s="1">
        <f t="shared" si="1"/>
        <v>0.19</v>
      </c>
      <c r="L10" s="8">
        <f t="shared" si="2"/>
        <v>25</v>
      </c>
      <c r="M10" s="1">
        <f t="shared" si="3"/>
        <v>0.39374999999999999</v>
      </c>
      <c r="N10" s="1">
        <f t="shared" si="4"/>
        <v>3728.6156249999999</v>
      </c>
      <c r="O10" s="8">
        <v>1.2475000000000001</v>
      </c>
      <c r="P10" s="8">
        <v>0.14499999999999999</v>
      </c>
      <c r="Q10" s="8">
        <f t="shared" si="5"/>
        <v>14.499999999999998</v>
      </c>
      <c r="R10" s="8">
        <v>12.9</v>
      </c>
    </row>
    <row r="11" spans="1:18" x14ac:dyDescent="0.25">
      <c r="A11" s="5">
        <v>4</v>
      </c>
      <c r="B11" s="5">
        <v>1</v>
      </c>
      <c r="C11" s="6">
        <v>1.2749999999999999</v>
      </c>
      <c r="D11" s="6">
        <v>1.2749999999999999</v>
      </c>
      <c r="E11" s="6">
        <v>0</v>
      </c>
      <c r="F11" s="6">
        <v>2.5</v>
      </c>
      <c r="G11" s="6">
        <v>2.5</v>
      </c>
      <c r="H11" s="6">
        <v>0</v>
      </c>
      <c r="I11" s="6">
        <v>0.02</v>
      </c>
      <c r="J11" s="6">
        <f t="shared" si="0"/>
        <v>0.51</v>
      </c>
      <c r="K11" s="6">
        <f t="shared" si="1"/>
        <v>0.51</v>
      </c>
      <c r="L11" s="6">
        <f t="shared" si="2"/>
        <v>20</v>
      </c>
      <c r="M11" s="6">
        <f t="shared" si="3"/>
        <v>0.255</v>
      </c>
      <c r="N11" s="6">
        <f t="shared" si="4"/>
        <v>2414.7224999999999</v>
      </c>
      <c r="O11" s="6">
        <v>1.1339999999999999</v>
      </c>
      <c r="P11" s="6">
        <v>0.14499999999999999</v>
      </c>
      <c r="Q11" s="1">
        <f t="shared" si="5"/>
        <v>14.499999999999998</v>
      </c>
      <c r="R11" s="1">
        <v>8.8000000000000007</v>
      </c>
    </row>
    <row r="12" spans="1:18" x14ac:dyDescent="0.25">
      <c r="A12">
        <v>4</v>
      </c>
      <c r="B12">
        <v>2</v>
      </c>
      <c r="C12" s="1">
        <v>1.8624999999999998</v>
      </c>
      <c r="D12" s="1">
        <v>1.7949999999999999</v>
      </c>
      <c r="E12" s="1">
        <v>6.7500000000000004E-2</v>
      </c>
      <c r="F12" s="1">
        <v>4.25</v>
      </c>
      <c r="G12" s="1">
        <v>3</v>
      </c>
      <c r="H12" s="1">
        <v>1.25</v>
      </c>
      <c r="I12" s="1">
        <v>2.5000000000000001E-2</v>
      </c>
      <c r="J12" s="1">
        <f t="shared" si="0"/>
        <v>0.438235294117647</v>
      </c>
      <c r="K12" s="1">
        <f t="shared" si="1"/>
        <v>0.59833333333333327</v>
      </c>
      <c r="L12" s="1">
        <f t="shared" si="2"/>
        <v>25</v>
      </c>
      <c r="M12" s="1">
        <f t="shared" si="3"/>
        <v>0.46562499999999996</v>
      </c>
      <c r="N12" s="1">
        <f t="shared" si="4"/>
        <v>4409.2359374999996</v>
      </c>
      <c r="O12" s="1">
        <v>0.84375</v>
      </c>
      <c r="P12" s="1">
        <v>0.13500000000000001</v>
      </c>
      <c r="Q12" s="1">
        <f t="shared" si="5"/>
        <v>13.5</v>
      </c>
      <c r="R12" s="1">
        <v>9.4</v>
      </c>
    </row>
    <row r="13" spans="1:18" x14ac:dyDescent="0.25">
      <c r="A13" s="7">
        <v>4</v>
      </c>
      <c r="B13" s="7">
        <v>3</v>
      </c>
      <c r="C13" s="1">
        <v>1.55</v>
      </c>
      <c r="D13" s="8">
        <v>1.4750000000000001</v>
      </c>
      <c r="E13" s="8">
        <v>7.4999999999999997E-2</v>
      </c>
      <c r="F13" s="1">
        <v>3.25</v>
      </c>
      <c r="G13" s="8">
        <v>3</v>
      </c>
      <c r="H13" s="8">
        <v>0.25</v>
      </c>
      <c r="I13" s="8">
        <v>0.02</v>
      </c>
      <c r="J13" s="1">
        <f t="shared" si="0"/>
        <v>0.47692307692307695</v>
      </c>
      <c r="K13" s="1">
        <f t="shared" si="1"/>
        <v>0.4916666666666667</v>
      </c>
      <c r="L13" s="8">
        <f t="shared" si="2"/>
        <v>20</v>
      </c>
      <c r="M13" s="1">
        <f t="shared" si="3"/>
        <v>0.31</v>
      </c>
      <c r="N13" s="1">
        <f t="shared" si="4"/>
        <v>2935.5450000000001</v>
      </c>
      <c r="O13" s="8">
        <v>1.2237499999999999</v>
      </c>
      <c r="P13" s="8">
        <v>0.13500000000000001</v>
      </c>
      <c r="Q13" s="8">
        <f t="shared" si="5"/>
        <v>13.5</v>
      </c>
      <c r="R13" s="8">
        <v>8</v>
      </c>
    </row>
    <row r="14" spans="1:18" x14ac:dyDescent="0.25">
      <c r="A14" s="5">
        <v>5</v>
      </c>
      <c r="B14" s="5">
        <v>1</v>
      </c>
      <c r="C14" s="6">
        <v>0.89875000000000005</v>
      </c>
      <c r="D14" s="6">
        <v>0.83750000000000002</v>
      </c>
      <c r="E14" s="6">
        <v>6.1249999999999999E-2</v>
      </c>
      <c r="F14" s="6">
        <v>4.5</v>
      </c>
      <c r="G14" s="6">
        <v>3.25</v>
      </c>
      <c r="H14" s="6">
        <v>1.25</v>
      </c>
      <c r="I14" s="6">
        <v>2.5000000000000001E-2</v>
      </c>
      <c r="J14" s="6">
        <f t="shared" si="0"/>
        <v>0.19972222222222225</v>
      </c>
      <c r="K14" s="6">
        <f t="shared" si="1"/>
        <v>0.25769230769230772</v>
      </c>
      <c r="L14" s="6">
        <f t="shared" si="2"/>
        <v>25</v>
      </c>
      <c r="M14" s="6">
        <f t="shared" si="3"/>
        <v>0.22468750000000001</v>
      </c>
      <c r="N14" s="6">
        <f t="shared" si="4"/>
        <v>2127.6782812500001</v>
      </c>
      <c r="O14" s="6">
        <v>0.38</v>
      </c>
      <c r="P14" s="6">
        <v>0.17499999999999999</v>
      </c>
      <c r="Q14" s="1">
        <f t="shared" si="5"/>
        <v>17.5</v>
      </c>
      <c r="R14" s="1">
        <v>9.1</v>
      </c>
    </row>
    <row r="15" spans="1:18" x14ac:dyDescent="0.25">
      <c r="A15">
        <v>5</v>
      </c>
      <c r="B15">
        <v>2</v>
      </c>
      <c r="C15" s="1">
        <v>0.88749999999999996</v>
      </c>
      <c r="D15" s="1">
        <v>0.82499999999999996</v>
      </c>
      <c r="E15" s="1">
        <v>6.25E-2</v>
      </c>
      <c r="F15" s="1">
        <v>5.75</v>
      </c>
      <c r="G15" s="1">
        <v>4</v>
      </c>
      <c r="H15" s="1">
        <v>1.75</v>
      </c>
      <c r="I15" s="1">
        <v>2.5000000000000001E-2</v>
      </c>
      <c r="J15" s="1">
        <f t="shared" si="0"/>
        <v>0.15434782608695652</v>
      </c>
      <c r="K15" s="1">
        <f t="shared" si="1"/>
        <v>0.20624999999999999</v>
      </c>
      <c r="L15" s="1">
        <f t="shared" si="2"/>
        <v>25</v>
      </c>
      <c r="M15" s="1">
        <f t="shared" si="3"/>
        <v>0.22187499999999999</v>
      </c>
      <c r="N15" s="1">
        <f t="shared" si="4"/>
        <v>2101.0453124999999</v>
      </c>
      <c r="O15" s="1">
        <v>0.3075</v>
      </c>
      <c r="P15" s="1">
        <v>0.17</v>
      </c>
      <c r="Q15" s="1">
        <f t="shared" si="5"/>
        <v>17</v>
      </c>
      <c r="R15" s="1">
        <v>8.9</v>
      </c>
    </row>
    <row r="16" spans="1:18" x14ac:dyDescent="0.25">
      <c r="A16" s="7">
        <v>5</v>
      </c>
      <c r="B16" s="7">
        <v>3</v>
      </c>
      <c r="C16" s="1">
        <v>1.4075000000000002</v>
      </c>
      <c r="D16" s="8">
        <v>1.3075000000000001</v>
      </c>
      <c r="E16" s="8">
        <v>0.1</v>
      </c>
      <c r="F16" s="1">
        <v>3.5</v>
      </c>
      <c r="G16" s="8">
        <v>3</v>
      </c>
      <c r="H16" s="8">
        <v>0.5</v>
      </c>
      <c r="I16" s="8">
        <v>2.5000000000000001E-2</v>
      </c>
      <c r="J16" s="1">
        <f t="shared" si="0"/>
        <v>0.40214285714285719</v>
      </c>
      <c r="K16" s="1">
        <f t="shared" si="1"/>
        <v>0.43583333333333335</v>
      </c>
      <c r="L16" s="8">
        <f t="shared" si="2"/>
        <v>25</v>
      </c>
      <c r="M16" s="1">
        <f t="shared" si="3"/>
        <v>0.35187500000000005</v>
      </c>
      <c r="N16" s="1">
        <f t="shared" si="4"/>
        <v>3332.0803125000007</v>
      </c>
      <c r="O16" s="8">
        <v>1.20875</v>
      </c>
      <c r="P16" s="8">
        <v>0.13500000000000001</v>
      </c>
      <c r="Q16" s="8">
        <f t="shared" si="5"/>
        <v>13.5</v>
      </c>
      <c r="R16" s="8">
        <v>8.5</v>
      </c>
    </row>
    <row r="17" spans="1:18" x14ac:dyDescent="0.25">
      <c r="A17" s="5">
        <v>6</v>
      </c>
      <c r="B17" s="5">
        <v>1</v>
      </c>
      <c r="C17" s="6">
        <v>0.82250000000000001</v>
      </c>
      <c r="D17" s="6">
        <v>0.69750000000000001</v>
      </c>
      <c r="E17" s="6">
        <v>0.125</v>
      </c>
      <c r="F17" s="6">
        <v>2</v>
      </c>
      <c r="G17" s="6">
        <v>1.75</v>
      </c>
      <c r="H17" s="6">
        <v>0.25</v>
      </c>
      <c r="I17" s="6">
        <v>2.5000000000000001E-2</v>
      </c>
      <c r="J17" s="6">
        <f t="shared" si="0"/>
        <v>0.41125</v>
      </c>
      <c r="K17" s="6">
        <f t="shared" si="1"/>
        <v>0.39857142857142858</v>
      </c>
      <c r="L17" s="6">
        <f t="shared" si="2"/>
        <v>25</v>
      </c>
      <c r="M17" s="6">
        <f t="shared" si="3"/>
        <v>0.205625</v>
      </c>
      <c r="N17" s="6">
        <f t="shared" si="4"/>
        <v>1947.1659374999999</v>
      </c>
      <c r="O17" s="6">
        <v>1.48875</v>
      </c>
      <c r="P17" s="6">
        <v>0.155</v>
      </c>
      <c r="Q17" s="1">
        <f t="shared" si="5"/>
        <v>15.5</v>
      </c>
      <c r="R17" s="1">
        <v>8.6</v>
      </c>
    </row>
    <row r="18" spans="1:18" x14ac:dyDescent="0.25">
      <c r="A18">
        <v>6</v>
      </c>
      <c r="B18">
        <v>2</v>
      </c>
      <c r="C18" s="1">
        <v>1.825</v>
      </c>
      <c r="D18" s="1">
        <v>1.8</v>
      </c>
      <c r="E18" s="1">
        <v>2.5000000000000001E-2</v>
      </c>
      <c r="F18" s="1">
        <v>3.5</v>
      </c>
      <c r="G18" s="1">
        <v>3</v>
      </c>
      <c r="H18" s="1">
        <v>0.5</v>
      </c>
      <c r="I18" s="1">
        <v>2.5000000000000001E-2</v>
      </c>
      <c r="J18" s="1">
        <f t="shared" si="0"/>
        <v>0.52142857142857146</v>
      </c>
      <c r="K18" s="1">
        <f t="shared" si="1"/>
        <v>0.6</v>
      </c>
      <c r="L18" s="1">
        <f t="shared" si="2"/>
        <v>25</v>
      </c>
      <c r="M18" s="1">
        <f t="shared" si="3"/>
        <v>0.45624999999999999</v>
      </c>
      <c r="N18" s="1">
        <f t="shared" si="4"/>
        <v>4320.4593749999995</v>
      </c>
      <c r="O18" s="1">
        <v>1.4325000000000001</v>
      </c>
      <c r="P18" s="1">
        <v>0.13500000000000001</v>
      </c>
      <c r="Q18" s="1">
        <f t="shared" si="5"/>
        <v>13.5</v>
      </c>
      <c r="R18" s="1">
        <v>8.4</v>
      </c>
    </row>
    <row r="19" spans="1:18" x14ac:dyDescent="0.25">
      <c r="A19" s="7">
        <v>6</v>
      </c>
      <c r="B19" s="7">
        <v>3</v>
      </c>
      <c r="C19" s="1">
        <v>0.53249999999999997</v>
      </c>
      <c r="D19" s="8">
        <v>0.4325</v>
      </c>
      <c r="E19" s="8">
        <v>0.1</v>
      </c>
      <c r="F19" s="1">
        <v>1.5</v>
      </c>
      <c r="G19" s="8">
        <v>1</v>
      </c>
      <c r="H19" s="8">
        <v>0.5</v>
      </c>
      <c r="I19" s="8">
        <v>2.5000000000000001E-2</v>
      </c>
      <c r="J19" s="1">
        <f t="shared" si="0"/>
        <v>0.35499999999999998</v>
      </c>
      <c r="K19" s="1">
        <f t="shared" si="1"/>
        <v>0.4325</v>
      </c>
      <c r="L19" s="8">
        <f t="shared" si="2"/>
        <v>25</v>
      </c>
      <c r="M19" s="1">
        <f t="shared" si="3"/>
        <v>0.13312499999999999</v>
      </c>
      <c r="N19" s="1">
        <f t="shared" si="4"/>
        <v>1260.6271875</v>
      </c>
      <c r="O19" s="8">
        <v>0.69374999999999998</v>
      </c>
      <c r="P19" s="8">
        <v>0.13500000000000001</v>
      </c>
      <c r="Q19" s="8">
        <f t="shared" si="5"/>
        <v>13.5</v>
      </c>
      <c r="R19" s="8">
        <v>7.2</v>
      </c>
    </row>
    <row r="20" spans="1:18" x14ac:dyDescent="0.25">
      <c r="A20" s="5">
        <v>7</v>
      </c>
      <c r="B20" s="5">
        <v>1</v>
      </c>
      <c r="C20" s="6">
        <v>0.45</v>
      </c>
      <c r="D20" s="6">
        <v>0.375</v>
      </c>
      <c r="E20" s="6">
        <v>7.4999999999999997E-2</v>
      </c>
      <c r="F20" s="6">
        <v>1.75</v>
      </c>
      <c r="G20" s="6">
        <v>1.25</v>
      </c>
      <c r="H20" s="6">
        <v>0.5</v>
      </c>
      <c r="I20" s="6">
        <v>0.02</v>
      </c>
      <c r="J20" s="6">
        <f t="shared" si="0"/>
        <v>0.25714285714285717</v>
      </c>
      <c r="K20" s="6">
        <f t="shared" si="1"/>
        <v>0.3</v>
      </c>
      <c r="L20" s="6">
        <f t="shared" si="2"/>
        <v>20</v>
      </c>
      <c r="M20" s="6">
        <f t="shared" si="3"/>
        <v>0.09</v>
      </c>
      <c r="N20" s="6">
        <f t="shared" si="4"/>
        <v>852.255</v>
      </c>
      <c r="O20" s="6">
        <v>0.42699999999999999</v>
      </c>
      <c r="P20" s="6">
        <v>0.18</v>
      </c>
      <c r="Q20" s="1">
        <f t="shared" si="5"/>
        <v>18</v>
      </c>
      <c r="R20" s="1">
        <v>7.4</v>
      </c>
    </row>
    <row r="21" spans="1:18" x14ac:dyDescent="0.25">
      <c r="A21">
        <v>7</v>
      </c>
      <c r="B21">
        <v>2</v>
      </c>
      <c r="C21" s="1">
        <v>1.925</v>
      </c>
      <c r="D21" s="1">
        <v>1.875</v>
      </c>
      <c r="E21" s="1">
        <v>0.05</v>
      </c>
      <c r="F21" s="1">
        <v>5.75</v>
      </c>
      <c r="G21" s="1">
        <v>4.5</v>
      </c>
      <c r="H21" s="1">
        <v>1.25</v>
      </c>
      <c r="I21" s="1">
        <v>0.02</v>
      </c>
      <c r="J21" s="1">
        <f t="shared" si="0"/>
        <v>0.33478260869565218</v>
      </c>
      <c r="K21" s="1">
        <f t="shared" si="1"/>
        <v>0.41666666666666669</v>
      </c>
      <c r="L21" s="1">
        <f t="shared" si="2"/>
        <v>20</v>
      </c>
      <c r="M21" s="1">
        <f t="shared" si="3"/>
        <v>0.38500000000000001</v>
      </c>
      <c r="N21" s="1">
        <f t="shared" si="4"/>
        <v>3645.7575000000002</v>
      </c>
      <c r="O21" s="1">
        <v>1.0162500000000001</v>
      </c>
      <c r="P21" s="1">
        <v>0.155</v>
      </c>
      <c r="Q21" s="1">
        <f t="shared" si="5"/>
        <v>15.5</v>
      </c>
      <c r="R21" s="1">
        <v>7.6</v>
      </c>
    </row>
    <row r="22" spans="1:18" x14ac:dyDescent="0.25">
      <c r="A22" s="7">
        <v>7</v>
      </c>
      <c r="B22" s="7">
        <v>3</v>
      </c>
      <c r="C22" s="1">
        <v>1.3625</v>
      </c>
      <c r="D22" s="8">
        <v>1.2875000000000001</v>
      </c>
      <c r="E22" s="8">
        <v>7.4999999999999997E-2</v>
      </c>
      <c r="F22" s="1">
        <v>4</v>
      </c>
      <c r="G22" s="8">
        <v>3.75</v>
      </c>
      <c r="H22" s="8">
        <v>0.25</v>
      </c>
      <c r="I22" s="8">
        <v>0.02</v>
      </c>
      <c r="J22" s="1">
        <f t="shared" si="0"/>
        <v>0.34062500000000001</v>
      </c>
      <c r="K22" s="1">
        <f t="shared" si="1"/>
        <v>0.34333333333333338</v>
      </c>
      <c r="L22" s="8">
        <f t="shared" si="2"/>
        <v>20</v>
      </c>
      <c r="M22" s="1">
        <f t="shared" si="3"/>
        <v>0.27250000000000002</v>
      </c>
      <c r="N22" s="1">
        <f t="shared" si="4"/>
        <v>2580.4387500000003</v>
      </c>
      <c r="O22" s="8">
        <v>0.54249999999999998</v>
      </c>
      <c r="P22" s="8">
        <v>0.155</v>
      </c>
      <c r="Q22" s="8">
        <f t="shared" si="5"/>
        <v>15.5</v>
      </c>
      <c r="R22" s="8">
        <v>7.1</v>
      </c>
    </row>
    <row r="23" spans="1:18" x14ac:dyDescent="0.25">
      <c r="A23" s="5">
        <v>8</v>
      </c>
      <c r="B23" s="5">
        <v>1</v>
      </c>
      <c r="C23" s="6">
        <v>1.4</v>
      </c>
      <c r="D23" s="6">
        <v>0.73750000000000004</v>
      </c>
      <c r="E23" s="6">
        <v>0.66249999999999998</v>
      </c>
      <c r="F23" s="6">
        <v>4.75</v>
      </c>
      <c r="G23" s="6">
        <v>3.25</v>
      </c>
      <c r="H23" s="6">
        <v>1.5</v>
      </c>
      <c r="I23" s="6">
        <v>1.4999999999999999E-2</v>
      </c>
      <c r="J23" s="6">
        <f t="shared" si="0"/>
        <v>0.29473684210526313</v>
      </c>
      <c r="K23" s="6">
        <f t="shared" si="1"/>
        <v>0.22692307692307695</v>
      </c>
      <c r="L23" s="6">
        <f t="shared" si="2"/>
        <v>15</v>
      </c>
      <c r="M23" s="6">
        <f t="shared" si="3"/>
        <v>0.21</v>
      </c>
      <c r="N23" s="6">
        <f t="shared" si="4"/>
        <v>1988.595</v>
      </c>
      <c r="O23" s="6">
        <v>0.28000000000000003</v>
      </c>
      <c r="P23" s="6">
        <v>0.185</v>
      </c>
      <c r="Q23" s="1">
        <f t="shared" si="5"/>
        <v>18.5</v>
      </c>
      <c r="R23" s="1">
        <v>8.6999999999999993</v>
      </c>
    </row>
    <row r="24" spans="1:18" x14ac:dyDescent="0.25">
      <c r="A24">
        <v>8</v>
      </c>
      <c r="B24">
        <v>2</v>
      </c>
      <c r="C24" s="1">
        <v>0.70124999999999993</v>
      </c>
      <c r="D24" s="1">
        <v>0.60624999999999996</v>
      </c>
      <c r="E24" s="1">
        <v>9.5000000000000001E-2</v>
      </c>
      <c r="F24" s="1">
        <v>5</v>
      </c>
      <c r="G24" s="1">
        <v>3.25</v>
      </c>
      <c r="H24" s="1">
        <v>1.75</v>
      </c>
      <c r="I24" s="1">
        <v>1.4999999999999999E-2</v>
      </c>
      <c r="J24" s="1">
        <f t="shared" si="0"/>
        <v>0.14024999999999999</v>
      </c>
      <c r="K24" s="1">
        <f t="shared" si="1"/>
        <v>0.18653846153846151</v>
      </c>
      <c r="L24" s="1">
        <f t="shared" si="2"/>
        <v>15</v>
      </c>
      <c r="M24" s="1">
        <f t="shared" si="3"/>
        <v>0.10518749999999999</v>
      </c>
      <c r="N24" s="1">
        <f t="shared" si="4"/>
        <v>996.07303124999987</v>
      </c>
      <c r="O24" s="1">
        <v>0.27500000000000002</v>
      </c>
      <c r="P24" s="1">
        <v>0.16</v>
      </c>
      <c r="Q24" s="1">
        <f t="shared" si="5"/>
        <v>16</v>
      </c>
      <c r="R24" s="1">
        <v>6.8</v>
      </c>
    </row>
    <row r="25" spans="1:18" x14ac:dyDescent="0.25">
      <c r="A25" s="7">
        <v>8</v>
      </c>
      <c r="B25" s="7">
        <v>3</v>
      </c>
      <c r="C25" s="1">
        <v>0.34499999999999997</v>
      </c>
      <c r="D25" s="8">
        <v>0.315</v>
      </c>
      <c r="E25" s="8">
        <v>0.03</v>
      </c>
      <c r="F25" s="1">
        <v>2</v>
      </c>
      <c r="G25" s="8">
        <v>1.25</v>
      </c>
      <c r="H25" s="8">
        <v>0.75</v>
      </c>
      <c r="I25" s="8">
        <v>1.4999999999999999E-2</v>
      </c>
      <c r="J25" s="1">
        <f t="shared" si="0"/>
        <v>0.17249999999999999</v>
      </c>
      <c r="K25" s="1">
        <f t="shared" si="1"/>
        <v>0.252</v>
      </c>
      <c r="L25" s="8">
        <f t="shared" si="2"/>
        <v>15</v>
      </c>
      <c r="M25" s="1">
        <f t="shared" si="3"/>
        <v>5.1749999999999997E-2</v>
      </c>
      <c r="N25" s="1">
        <f t="shared" si="4"/>
        <v>490.04662499999995</v>
      </c>
      <c r="O25" s="8">
        <v>0.34875</v>
      </c>
      <c r="P25" s="8">
        <v>0.14000000000000001</v>
      </c>
      <c r="Q25" s="8">
        <f t="shared" si="5"/>
        <v>14.000000000000002</v>
      </c>
      <c r="R25" s="8">
        <v>7.9</v>
      </c>
    </row>
    <row r="26" spans="1:18" x14ac:dyDescent="0.25">
      <c r="A26" s="5">
        <v>9</v>
      </c>
      <c r="B26" s="5">
        <v>1</v>
      </c>
      <c r="C26" s="6">
        <v>0.71499999999999997</v>
      </c>
      <c r="D26" s="6">
        <v>0.65749999999999997</v>
      </c>
      <c r="E26" s="6">
        <v>5.7500000000000002E-2</v>
      </c>
      <c r="F26" s="6">
        <v>4.5</v>
      </c>
      <c r="G26" s="6">
        <v>2.75</v>
      </c>
      <c r="H26" s="6">
        <v>1.75</v>
      </c>
      <c r="I26" s="6">
        <v>2.5000000000000001E-2</v>
      </c>
      <c r="J26" s="6">
        <f t="shared" si="0"/>
        <v>0.15888888888888889</v>
      </c>
      <c r="K26" s="6">
        <f t="shared" si="1"/>
        <v>0.23909090909090908</v>
      </c>
      <c r="L26" s="6">
        <f t="shared" si="2"/>
        <v>25</v>
      </c>
      <c r="M26" s="6">
        <f t="shared" si="3"/>
        <v>0.17874999999999999</v>
      </c>
      <c r="N26" s="6">
        <f t="shared" si="4"/>
        <v>1692.673125</v>
      </c>
      <c r="O26" s="6">
        <v>1.8</v>
      </c>
      <c r="P26" s="6">
        <v>0.13500000000000001</v>
      </c>
      <c r="Q26" s="1">
        <f t="shared" si="5"/>
        <v>13.5</v>
      </c>
      <c r="R26" s="1">
        <v>11.2</v>
      </c>
    </row>
    <row r="27" spans="1:18" x14ac:dyDescent="0.25">
      <c r="A27">
        <v>9</v>
      </c>
      <c r="B27">
        <v>2</v>
      </c>
      <c r="C27" s="1">
        <v>1.1375</v>
      </c>
      <c r="D27" s="1">
        <v>1.1074999999999999</v>
      </c>
      <c r="E27" s="1">
        <v>0.03</v>
      </c>
      <c r="F27" s="1">
        <v>3.75</v>
      </c>
      <c r="G27" s="1">
        <v>3</v>
      </c>
      <c r="H27" s="1">
        <v>0.75</v>
      </c>
      <c r="I27" s="1">
        <v>2.5000000000000001E-2</v>
      </c>
      <c r="J27" s="1">
        <f t="shared" si="0"/>
        <v>0.30333333333333334</v>
      </c>
      <c r="K27" s="1">
        <f t="shared" si="1"/>
        <v>0.36916666666666664</v>
      </c>
      <c r="L27" s="1">
        <f t="shared" si="2"/>
        <v>25</v>
      </c>
      <c r="M27" s="1">
        <f t="shared" si="3"/>
        <v>0.28437499999999999</v>
      </c>
      <c r="N27" s="1">
        <f t="shared" si="4"/>
        <v>2692.8890624999999</v>
      </c>
      <c r="O27" s="1">
        <v>1.85625</v>
      </c>
      <c r="P27" s="1">
        <v>0.15</v>
      </c>
      <c r="Q27" s="1">
        <f t="shared" si="5"/>
        <v>15</v>
      </c>
      <c r="R27" s="1">
        <v>10.4</v>
      </c>
    </row>
    <row r="28" spans="1:18" x14ac:dyDescent="0.25">
      <c r="A28" s="7">
        <v>9</v>
      </c>
      <c r="B28" s="7">
        <v>3</v>
      </c>
      <c r="C28" s="1">
        <v>0.83125000000000004</v>
      </c>
      <c r="D28" s="8">
        <v>0.69374999999999998</v>
      </c>
      <c r="E28" s="8">
        <v>0.13750000000000001</v>
      </c>
      <c r="F28" s="1">
        <v>3.25</v>
      </c>
      <c r="G28" s="8">
        <v>2.75</v>
      </c>
      <c r="H28" s="8">
        <v>0.5</v>
      </c>
      <c r="I28" s="8">
        <v>2.5000000000000001E-2</v>
      </c>
      <c r="J28" s="1">
        <f t="shared" si="0"/>
        <v>0.2557692307692308</v>
      </c>
      <c r="K28" s="1">
        <f t="shared" si="1"/>
        <v>0.25227272727272726</v>
      </c>
      <c r="L28" s="8">
        <f t="shared" si="2"/>
        <v>25</v>
      </c>
      <c r="M28" s="1">
        <f t="shared" si="3"/>
        <v>0.20781250000000001</v>
      </c>
      <c r="N28" s="1">
        <f t="shared" si="4"/>
        <v>1967.8804687500001</v>
      </c>
      <c r="O28" s="8">
        <v>3.5037500000000001</v>
      </c>
      <c r="P28" s="8">
        <v>0.14499999999999999</v>
      </c>
      <c r="Q28" s="8">
        <f t="shared" si="5"/>
        <v>14.499999999999998</v>
      </c>
      <c r="R28" s="8">
        <v>8.6999999999999993</v>
      </c>
    </row>
    <row r="29" spans="1:18" x14ac:dyDescent="0.25">
      <c r="A29" s="5">
        <v>10</v>
      </c>
      <c r="B29" s="5">
        <v>1</v>
      </c>
      <c r="C29" s="6">
        <v>1.9862500000000001</v>
      </c>
      <c r="D29" s="6">
        <v>1.175</v>
      </c>
      <c r="E29" s="6">
        <v>0.81125000000000003</v>
      </c>
      <c r="F29" s="6">
        <v>8</v>
      </c>
      <c r="G29" s="6">
        <v>5</v>
      </c>
      <c r="H29" s="6">
        <v>3</v>
      </c>
      <c r="I29" s="6">
        <v>2.5000000000000001E-2</v>
      </c>
      <c r="J29" s="6">
        <f t="shared" si="0"/>
        <v>0.24828125000000001</v>
      </c>
      <c r="K29" s="6">
        <f t="shared" si="1"/>
        <v>0.23500000000000001</v>
      </c>
      <c r="L29" s="6">
        <f t="shared" si="2"/>
        <v>25</v>
      </c>
      <c r="M29" s="6">
        <f t="shared" si="3"/>
        <v>0.49656250000000002</v>
      </c>
      <c r="N29" s="6">
        <f t="shared" si="4"/>
        <v>4702.1985937500003</v>
      </c>
      <c r="O29" s="6">
        <v>0.79374999999999996</v>
      </c>
      <c r="P29" s="6">
        <v>0.14499999999999999</v>
      </c>
      <c r="Q29" s="1">
        <f t="shared" si="5"/>
        <v>14.499999999999998</v>
      </c>
      <c r="R29" s="1">
        <v>7.7</v>
      </c>
    </row>
    <row r="30" spans="1:18" x14ac:dyDescent="0.25">
      <c r="A30">
        <v>10</v>
      </c>
      <c r="B30">
        <v>2</v>
      </c>
      <c r="C30" s="1">
        <v>1.3775000000000002</v>
      </c>
      <c r="D30" s="1">
        <v>1.34</v>
      </c>
      <c r="E30" s="1">
        <v>3.7499999999999999E-2</v>
      </c>
      <c r="F30" s="1">
        <v>5.25</v>
      </c>
      <c r="G30" s="1">
        <v>4.25</v>
      </c>
      <c r="H30" s="1">
        <v>1</v>
      </c>
      <c r="I30" s="1">
        <v>2.5000000000000001E-2</v>
      </c>
      <c r="J30" s="1">
        <f t="shared" si="0"/>
        <v>0.26238095238095244</v>
      </c>
      <c r="K30" s="1">
        <f t="shared" si="1"/>
        <v>0.31529411764705884</v>
      </c>
      <c r="L30" s="1">
        <f t="shared" si="2"/>
        <v>25</v>
      </c>
      <c r="M30" s="1">
        <f t="shared" si="3"/>
        <v>0.3443750000000001</v>
      </c>
      <c r="N30" s="1">
        <f t="shared" si="4"/>
        <v>3261.0590625000009</v>
      </c>
      <c r="O30" s="1">
        <v>2.75</v>
      </c>
      <c r="P30" s="1">
        <v>0.14499999999999999</v>
      </c>
      <c r="Q30" s="1">
        <f t="shared" si="5"/>
        <v>14.499999999999998</v>
      </c>
      <c r="R30" s="1">
        <v>8.5</v>
      </c>
    </row>
    <row r="31" spans="1:18" x14ac:dyDescent="0.25">
      <c r="A31" s="7">
        <v>10</v>
      </c>
      <c r="B31" s="7">
        <v>3</v>
      </c>
      <c r="C31" s="1">
        <v>0.92999999999999994</v>
      </c>
      <c r="D31" s="8">
        <v>0.83</v>
      </c>
      <c r="E31" s="8">
        <v>0.1</v>
      </c>
      <c r="F31" s="1">
        <v>3.5</v>
      </c>
      <c r="G31" s="8">
        <v>3</v>
      </c>
      <c r="H31" s="8">
        <v>0.5</v>
      </c>
      <c r="I31" s="8">
        <v>0.02</v>
      </c>
      <c r="J31" s="1">
        <f t="shared" si="0"/>
        <v>0.26571428571428568</v>
      </c>
      <c r="K31" s="1">
        <f t="shared" si="1"/>
        <v>0.27666666666666667</v>
      </c>
      <c r="L31" s="8">
        <f t="shared" si="2"/>
        <v>20</v>
      </c>
      <c r="M31" s="1">
        <f t="shared" si="3"/>
        <v>0.18599999999999997</v>
      </c>
      <c r="N31" s="1">
        <f t="shared" si="4"/>
        <v>1761.3269999999998</v>
      </c>
      <c r="O31" s="8">
        <v>0.32874999999999999</v>
      </c>
      <c r="P31" s="8">
        <v>0.14499999999999999</v>
      </c>
      <c r="Q31" s="8">
        <f t="shared" si="5"/>
        <v>14.499999999999998</v>
      </c>
      <c r="R31" s="8">
        <v>7.9</v>
      </c>
    </row>
    <row r="32" spans="1:18" x14ac:dyDescent="0.25">
      <c r="A32" s="5">
        <v>11</v>
      </c>
      <c r="B32" s="5">
        <v>1</v>
      </c>
      <c r="C32" s="6">
        <v>0.59125000000000005</v>
      </c>
      <c r="D32" s="6">
        <v>0.54500000000000004</v>
      </c>
      <c r="E32" s="6">
        <v>4.6249999999999999E-2</v>
      </c>
      <c r="F32" s="6">
        <v>2.75</v>
      </c>
      <c r="G32" s="6">
        <v>1.75</v>
      </c>
      <c r="H32" s="6">
        <v>1</v>
      </c>
      <c r="I32" s="6">
        <v>2.5000000000000001E-2</v>
      </c>
      <c r="J32" s="6">
        <f t="shared" si="0"/>
        <v>0.21500000000000002</v>
      </c>
      <c r="K32" s="6">
        <f t="shared" si="1"/>
        <v>0.31142857142857144</v>
      </c>
      <c r="L32" s="6">
        <f t="shared" si="2"/>
        <v>25</v>
      </c>
      <c r="M32" s="6">
        <f t="shared" si="3"/>
        <v>0.14781250000000001</v>
      </c>
      <c r="N32" s="6">
        <f t="shared" si="4"/>
        <v>1399.71046875</v>
      </c>
      <c r="O32" s="6">
        <v>1.095</v>
      </c>
      <c r="P32" s="6">
        <v>0.15</v>
      </c>
      <c r="Q32" s="1">
        <f t="shared" si="5"/>
        <v>15</v>
      </c>
      <c r="R32" s="1">
        <v>8.9</v>
      </c>
    </row>
    <row r="33" spans="1:18" x14ac:dyDescent="0.25">
      <c r="A33">
        <v>11</v>
      </c>
      <c r="B33">
        <v>2</v>
      </c>
      <c r="C33" s="1">
        <v>1.2625</v>
      </c>
      <c r="D33" s="1">
        <v>1.1875</v>
      </c>
      <c r="E33" s="1">
        <v>7.4999999999999997E-2</v>
      </c>
      <c r="F33" s="1">
        <v>4</v>
      </c>
      <c r="G33" s="1">
        <v>3.75</v>
      </c>
      <c r="H33" s="1">
        <v>0.25</v>
      </c>
      <c r="I33" s="1">
        <v>2.5000000000000001E-2</v>
      </c>
      <c r="J33" s="1">
        <f t="shared" si="0"/>
        <v>0.31562499999999999</v>
      </c>
      <c r="K33" s="1">
        <f t="shared" si="1"/>
        <v>0.31666666666666665</v>
      </c>
      <c r="L33" s="1">
        <f t="shared" si="2"/>
        <v>25</v>
      </c>
      <c r="M33" s="1">
        <f t="shared" si="3"/>
        <v>0.31562499999999999</v>
      </c>
      <c r="N33" s="1">
        <f t="shared" si="4"/>
        <v>2988.8109374999999</v>
      </c>
      <c r="O33" s="1">
        <v>0.65874999999999995</v>
      </c>
      <c r="P33" s="1">
        <v>0.16</v>
      </c>
      <c r="Q33" s="1">
        <f t="shared" si="5"/>
        <v>16</v>
      </c>
      <c r="R33" s="1">
        <v>9.5</v>
      </c>
    </row>
    <row r="34" spans="1:18" x14ac:dyDescent="0.25">
      <c r="A34" s="7">
        <v>11</v>
      </c>
      <c r="B34" s="7">
        <v>3</v>
      </c>
      <c r="C34" s="1">
        <v>0.86499999999999999</v>
      </c>
      <c r="D34" s="8">
        <v>0.71499999999999997</v>
      </c>
      <c r="E34" s="8">
        <v>0.15</v>
      </c>
      <c r="F34" s="1">
        <v>3.25</v>
      </c>
      <c r="G34" s="8">
        <v>3</v>
      </c>
      <c r="H34" s="8">
        <v>0.25</v>
      </c>
      <c r="I34" s="8">
        <v>0.02</v>
      </c>
      <c r="J34" s="1">
        <f t="shared" si="0"/>
        <v>0.26615384615384613</v>
      </c>
      <c r="K34" s="1">
        <f t="shared" si="1"/>
        <v>0.23833333333333331</v>
      </c>
      <c r="L34" s="8">
        <f t="shared" ref="L34:L55" si="6">(I34/0.1)*100</f>
        <v>20</v>
      </c>
      <c r="M34" s="1">
        <f t="shared" ref="M34:M55" si="7">(C34*L34)/100</f>
        <v>0.17300000000000001</v>
      </c>
      <c r="N34" s="1">
        <f t="shared" ref="N34:N55" si="8">(((C34/4)*L34)/100)*37878</f>
        <v>1638.2235000000001</v>
      </c>
      <c r="O34" s="8">
        <v>1.2875000000000001</v>
      </c>
      <c r="P34" s="8">
        <v>0.15</v>
      </c>
      <c r="Q34" s="8">
        <f t="shared" ref="Q34:Q55" si="9">(P34/1)*100</f>
        <v>15</v>
      </c>
      <c r="R34" s="8">
        <v>9.9</v>
      </c>
    </row>
    <row r="35" spans="1:18" x14ac:dyDescent="0.25">
      <c r="A35" s="5">
        <v>12</v>
      </c>
      <c r="B35" s="5">
        <v>1</v>
      </c>
      <c r="C35" s="6">
        <v>0.77250000000000008</v>
      </c>
      <c r="D35" s="6">
        <v>0.66</v>
      </c>
      <c r="E35" s="6">
        <v>0.1125</v>
      </c>
      <c r="F35" s="6">
        <v>3.25</v>
      </c>
      <c r="G35" s="6">
        <v>2.5</v>
      </c>
      <c r="H35" s="6">
        <v>0.75</v>
      </c>
      <c r="I35" s="6">
        <v>2.5000000000000001E-2</v>
      </c>
      <c r="J35" s="6">
        <f t="shared" ref="J35:K55" si="10">C35/F35</f>
        <v>0.2376923076923077</v>
      </c>
      <c r="K35" s="6">
        <f t="shared" si="10"/>
        <v>0.26400000000000001</v>
      </c>
      <c r="L35" s="6">
        <f t="shared" si="6"/>
        <v>25</v>
      </c>
      <c r="M35" s="6">
        <f t="shared" si="7"/>
        <v>0.19312500000000005</v>
      </c>
      <c r="N35" s="6">
        <f t="shared" si="8"/>
        <v>1828.7971875000005</v>
      </c>
      <c r="O35" s="6">
        <v>0.78374999999999995</v>
      </c>
      <c r="P35" s="6">
        <v>0.16</v>
      </c>
      <c r="Q35" s="1">
        <f t="shared" si="9"/>
        <v>16</v>
      </c>
      <c r="R35" s="1">
        <v>9.6</v>
      </c>
    </row>
    <row r="36" spans="1:18" x14ac:dyDescent="0.25">
      <c r="A36">
        <v>12</v>
      </c>
      <c r="B36">
        <v>2</v>
      </c>
      <c r="C36" s="1">
        <v>0.66999999999999993</v>
      </c>
      <c r="D36" s="1">
        <v>0.60499999999999998</v>
      </c>
      <c r="E36" s="1">
        <v>6.5000000000000002E-2</v>
      </c>
      <c r="F36" s="1">
        <v>3.75</v>
      </c>
      <c r="G36" s="1">
        <v>2.25</v>
      </c>
      <c r="H36" s="1">
        <v>1.5</v>
      </c>
      <c r="I36" s="1">
        <v>2.5000000000000001E-2</v>
      </c>
      <c r="J36" s="1">
        <f t="shared" si="10"/>
        <v>0.17866666666666664</v>
      </c>
      <c r="K36" s="1">
        <f t="shared" si="10"/>
        <v>0.2688888888888889</v>
      </c>
      <c r="L36" s="1">
        <f t="shared" si="6"/>
        <v>25</v>
      </c>
      <c r="M36" s="1">
        <f t="shared" si="7"/>
        <v>0.16750000000000001</v>
      </c>
      <c r="N36" s="1">
        <f t="shared" si="8"/>
        <v>1586.1412500000001</v>
      </c>
      <c r="O36" s="1">
        <v>0.54874999999999996</v>
      </c>
      <c r="P36" s="1">
        <v>0.155</v>
      </c>
      <c r="Q36" s="1">
        <f t="shared" si="9"/>
        <v>15.5</v>
      </c>
      <c r="R36" s="1">
        <v>8.6</v>
      </c>
    </row>
    <row r="37" spans="1:18" x14ac:dyDescent="0.25">
      <c r="A37" s="7">
        <v>12</v>
      </c>
      <c r="B37" s="7">
        <v>3</v>
      </c>
      <c r="C37" s="1">
        <v>0.75249999999999995</v>
      </c>
      <c r="D37" s="8">
        <v>0.72499999999999998</v>
      </c>
      <c r="E37" s="8">
        <v>2.75E-2</v>
      </c>
      <c r="F37" s="1">
        <v>4.75</v>
      </c>
      <c r="G37" s="8">
        <v>3.75</v>
      </c>
      <c r="H37" s="8">
        <v>1</v>
      </c>
      <c r="I37" s="8">
        <v>2.5000000000000001E-2</v>
      </c>
      <c r="J37" s="1">
        <f t="shared" si="10"/>
        <v>0.15842105263157893</v>
      </c>
      <c r="K37" s="1">
        <f t="shared" si="10"/>
        <v>0.19333333333333333</v>
      </c>
      <c r="L37" s="8">
        <f t="shared" si="6"/>
        <v>25</v>
      </c>
      <c r="M37" s="1">
        <f t="shared" si="7"/>
        <v>0.18812499999999999</v>
      </c>
      <c r="N37" s="1">
        <f t="shared" si="8"/>
        <v>1781.4496875</v>
      </c>
      <c r="O37" s="8">
        <v>1.2375</v>
      </c>
      <c r="P37" s="8">
        <v>0.14499999999999999</v>
      </c>
      <c r="Q37" s="8">
        <f t="shared" si="9"/>
        <v>14.499999999999998</v>
      </c>
      <c r="R37" s="8">
        <v>9.6999999999999993</v>
      </c>
    </row>
    <row r="38" spans="1:18" x14ac:dyDescent="0.25">
      <c r="A38" s="5">
        <v>13</v>
      </c>
      <c r="B38" s="5">
        <v>1</v>
      </c>
      <c r="C38" s="6">
        <v>0.63874999999999993</v>
      </c>
      <c r="D38" s="6">
        <v>0.40125</v>
      </c>
      <c r="E38" s="6">
        <v>0.23749999999999999</v>
      </c>
      <c r="F38" s="6">
        <v>3.5</v>
      </c>
      <c r="G38" s="6">
        <v>2.25</v>
      </c>
      <c r="H38" s="6">
        <v>1.25</v>
      </c>
      <c r="I38" s="6">
        <v>2.5000000000000001E-2</v>
      </c>
      <c r="J38" s="6">
        <f t="shared" si="10"/>
        <v>0.18249999999999997</v>
      </c>
      <c r="K38" s="6">
        <f t="shared" si="10"/>
        <v>0.17833333333333334</v>
      </c>
      <c r="L38" s="6">
        <f t="shared" si="6"/>
        <v>25</v>
      </c>
      <c r="M38" s="6">
        <f t="shared" si="7"/>
        <v>0.15968749999999998</v>
      </c>
      <c r="N38" s="6">
        <f t="shared" si="8"/>
        <v>1512.1607812499999</v>
      </c>
      <c r="O38" s="6">
        <v>0.75749999999999995</v>
      </c>
      <c r="P38" s="6">
        <v>0.19</v>
      </c>
      <c r="Q38" s="1">
        <f t="shared" si="9"/>
        <v>19</v>
      </c>
      <c r="R38" s="1">
        <v>9</v>
      </c>
    </row>
    <row r="39" spans="1:18" x14ac:dyDescent="0.25">
      <c r="A39">
        <v>13</v>
      </c>
      <c r="B39">
        <v>2</v>
      </c>
      <c r="C39" s="1">
        <v>0.6</v>
      </c>
      <c r="D39" s="1">
        <v>0.6</v>
      </c>
      <c r="E39" s="1">
        <v>0</v>
      </c>
      <c r="F39" s="1">
        <v>2.25</v>
      </c>
      <c r="G39" s="1">
        <v>2.25</v>
      </c>
      <c r="H39" s="1">
        <v>0</v>
      </c>
      <c r="I39" s="1">
        <v>3.5000000000000003E-2</v>
      </c>
      <c r="J39" s="1">
        <f t="shared" si="10"/>
        <v>0.26666666666666666</v>
      </c>
      <c r="K39" s="1">
        <f t="shared" si="10"/>
        <v>0.26666666666666666</v>
      </c>
      <c r="L39" s="1">
        <f t="shared" si="6"/>
        <v>35</v>
      </c>
      <c r="M39" s="1">
        <f t="shared" si="7"/>
        <v>0.21</v>
      </c>
      <c r="N39" s="1">
        <f t="shared" si="8"/>
        <v>1988.595</v>
      </c>
      <c r="O39" s="1">
        <v>0.67500000000000004</v>
      </c>
      <c r="P39" s="1">
        <v>0.18</v>
      </c>
      <c r="Q39" s="1">
        <f t="shared" si="9"/>
        <v>18</v>
      </c>
      <c r="R39" s="1">
        <v>8.4</v>
      </c>
    </row>
    <row r="40" spans="1:18" x14ac:dyDescent="0.25">
      <c r="A40" s="7">
        <v>13</v>
      </c>
      <c r="B40" s="7">
        <v>3</v>
      </c>
      <c r="C40" s="1">
        <v>0.6875</v>
      </c>
      <c r="D40" s="8">
        <v>0.5625</v>
      </c>
      <c r="E40" s="8">
        <v>0.125</v>
      </c>
      <c r="F40" s="1">
        <v>2.25</v>
      </c>
      <c r="G40" s="8">
        <v>2</v>
      </c>
      <c r="H40" s="8">
        <v>0.25</v>
      </c>
      <c r="I40" s="8">
        <v>0.03</v>
      </c>
      <c r="J40" s="1">
        <f t="shared" si="10"/>
        <v>0.30555555555555558</v>
      </c>
      <c r="K40" s="1">
        <f t="shared" si="10"/>
        <v>0.28125</v>
      </c>
      <c r="L40" s="8">
        <f t="shared" si="6"/>
        <v>30</v>
      </c>
      <c r="M40" s="1">
        <f t="shared" si="7"/>
        <v>0.20624999999999999</v>
      </c>
      <c r="N40" s="1">
        <f t="shared" si="8"/>
        <v>1953.0843749999999</v>
      </c>
      <c r="O40" s="8">
        <v>1.4275</v>
      </c>
      <c r="P40" s="8">
        <v>0.15</v>
      </c>
      <c r="Q40" s="8">
        <f t="shared" si="9"/>
        <v>15</v>
      </c>
      <c r="R40" s="8">
        <v>9.6999999999999993</v>
      </c>
    </row>
    <row r="41" spans="1:18" x14ac:dyDescent="0.25">
      <c r="A41" s="5">
        <v>14</v>
      </c>
      <c r="B41" s="5">
        <v>1</v>
      </c>
      <c r="C41" s="6">
        <v>2.5225</v>
      </c>
      <c r="D41" s="6">
        <v>2.4975000000000001</v>
      </c>
      <c r="E41" s="6">
        <v>2.5000000000000001E-2</v>
      </c>
      <c r="F41" s="6">
        <v>3</v>
      </c>
      <c r="G41" s="6">
        <v>2.75</v>
      </c>
      <c r="H41" s="6">
        <v>0.25</v>
      </c>
      <c r="I41" s="6">
        <v>0.02</v>
      </c>
      <c r="J41" s="6">
        <f t="shared" si="10"/>
        <v>0.84083333333333332</v>
      </c>
      <c r="K41" s="6">
        <f t="shared" si="10"/>
        <v>0.9081818181818182</v>
      </c>
      <c r="L41" s="6">
        <f t="shared" si="6"/>
        <v>20</v>
      </c>
      <c r="M41" s="6">
        <f t="shared" si="7"/>
        <v>0.50450000000000006</v>
      </c>
      <c r="N41" s="6">
        <f t="shared" si="8"/>
        <v>4777.3627500000002</v>
      </c>
      <c r="O41" s="6">
        <v>2.8712499999999999</v>
      </c>
      <c r="P41" s="6">
        <v>0.125</v>
      </c>
      <c r="Q41" s="1">
        <f t="shared" si="9"/>
        <v>12.5</v>
      </c>
      <c r="R41" s="1">
        <v>12.1</v>
      </c>
    </row>
    <row r="42" spans="1:18" x14ac:dyDescent="0.25">
      <c r="A42">
        <v>14</v>
      </c>
      <c r="B42">
        <v>2</v>
      </c>
      <c r="C42" s="1">
        <v>1.675</v>
      </c>
      <c r="D42" s="1">
        <v>1.675</v>
      </c>
      <c r="E42" s="1">
        <v>0</v>
      </c>
      <c r="F42" s="1">
        <v>3.25</v>
      </c>
      <c r="G42" s="1">
        <v>3.25</v>
      </c>
      <c r="H42" s="1">
        <v>0</v>
      </c>
      <c r="I42" s="1">
        <v>2.5000000000000001E-2</v>
      </c>
      <c r="J42" s="1">
        <f t="shared" si="10"/>
        <v>0.51538461538461544</v>
      </c>
      <c r="K42" s="1">
        <f t="shared" si="10"/>
        <v>0.51538461538461544</v>
      </c>
      <c r="L42" s="1">
        <f t="shared" si="6"/>
        <v>25</v>
      </c>
      <c r="M42" s="1">
        <f t="shared" si="7"/>
        <v>0.41875000000000001</v>
      </c>
      <c r="N42" s="1">
        <f t="shared" si="8"/>
        <v>3965.3531250000001</v>
      </c>
      <c r="O42" s="1">
        <v>1.0525</v>
      </c>
      <c r="P42" s="1">
        <v>0.14499999999999999</v>
      </c>
      <c r="Q42" s="1">
        <f t="shared" si="9"/>
        <v>14.499999999999998</v>
      </c>
      <c r="R42" s="1">
        <v>8.1999999999999993</v>
      </c>
    </row>
    <row r="43" spans="1:18" x14ac:dyDescent="0.25">
      <c r="A43" s="7">
        <v>14</v>
      </c>
      <c r="B43" s="7">
        <v>3</v>
      </c>
      <c r="C43" s="1">
        <v>0.53125</v>
      </c>
      <c r="D43" s="8">
        <v>0.48125000000000001</v>
      </c>
      <c r="E43" s="8">
        <v>0.05</v>
      </c>
      <c r="F43" s="1">
        <v>2.25</v>
      </c>
      <c r="G43" s="8">
        <v>1.75</v>
      </c>
      <c r="H43" s="8">
        <v>0.5</v>
      </c>
      <c r="I43" s="8">
        <v>0.02</v>
      </c>
      <c r="J43" s="1">
        <f t="shared" si="10"/>
        <v>0.2361111111111111</v>
      </c>
      <c r="K43" s="1">
        <f t="shared" si="10"/>
        <v>0.27500000000000002</v>
      </c>
      <c r="L43" s="8">
        <f t="shared" si="6"/>
        <v>20</v>
      </c>
      <c r="M43" s="1">
        <f t="shared" si="7"/>
        <v>0.10625</v>
      </c>
      <c r="N43" s="1">
        <f t="shared" si="8"/>
        <v>1006.134375</v>
      </c>
      <c r="O43" s="8">
        <v>0.44624999999999998</v>
      </c>
      <c r="P43" s="8">
        <v>0.15</v>
      </c>
      <c r="Q43" s="8">
        <f t="shared" si="9"/>
        <v>15</v>
      </c>
      <c r="R43" s="8">
        <v>7.2</v>
      </c>
    </row>
    <row r="44" spans="1:18" x14ac:dyDescent="0.25">
      <c r="A44" s="5">
        <v>15</v>
      </c>
      <c r="B44" s="5">
        <v>1</v>
      </c>
      <c r="C44" s="6">
        <v>7.8750000000000001E-2</v>
      </c>
      <c r="D44" s="6">
        <v>4.3749999999999997E-2</v>
      </c>
      <c r="E44" s="6">
        <v>3.5000000000000003E-2</v>
      </c>
      <c r="F44" s="6">
        <v>3</v>
      </c>
      <c r="G44" s="6">
        <v>0.5</v>
      </c>
      <c r="H44" s="6">
        <v>2.5</v>
      </c>
      <c r="I44" s="6">
        <v>2.5000000000000001E-2</v>
      </c>
      <c r="J44" s="6">
        <f t="shared" si="10"/>
        <v>2.6249999999999999E-2</v>
      </c>
      <c r="K44" s="6">
        <f t="shared" si="10"/>
        <v>8.7499999999999994E-2</v>
      </c>
      <c r="L44" s="6">
        <f t="shared" si="6"/>
        <v>25</v>
      </c>
      <c r="M44" s="6">
        <f t="shared" si="7"/>
        <v>1.96875E-2</v>
      </c>
      <c r="N44" s="6">
        <f t="shared" si="8"/>
        <v>186.43078125</v>
      </c>
      <c r="O44" s="6">
        <v>0.15625</v>
      </c>
      <c r="P44" s="6">
        <v>0.14499999999999999</v>
      </c>
      <c r="Q44" s="1">
        <f t="shared" si="9"/>
        <v>14.499999999999998</v>
      </c>
      <c r="R44" s="1">
        <v>10.4</v>
      </c>
    </row>
    <row r="45" spans="1:18" x14ac:dyDescent="0.25">
      <c r="A45">
        <v>15</v>
      </c>
      <c r="B45">
        <v>2</v>
      </c>
      <c r="C45" s="1">
        <v>0.25</v>
      </c>
      <c r="D45" s="1">
        <v>0.15</v>
      </c>
      <c r="E45" s="1">
        <v>0.1</v>
      </c>
      <c r="F45" s="1">
        <v>2</v>
      </c>
      <c r="G45" s="1">
        <v>1.5</v>
      </c>
      <c r="H45" s="1">
        <v>0.5</v>
      </c>
      <c r="I45" s="1">
        <v>2.5000000000000001E-2</v>
      </c>
      <c r="J45" s="1">
        <f t="shared" si="10"/>
        <v>0.125</v>
      </c>
      <c r="K45" s="1">
        <f t="shared" si="10"/>
        <v>9.9999999999999992E-2</v>
      </c>
      <c r="L45" s="1">
        <f t="shared" si="6"/>
        <v>25</v>
      </c>
      <c r="M45" s="1">
        <f t="shared" si="7"/>
        <v>6.25E-2</v>
      </c>
      <c r="N45" s="1">
        <f t="shared" si="8"/>
        <v>591.84375</v>
      </c>
      <c r="O45" s="1">
        <v>0.18</v>
      </c>
      <c r="P45" s="1">
        <v>0.125</v>
      </c>
      <c r="Q45" s="1">
        <f t="shared" si="9"/>
        <v>12.5</v>
      </c>
      <c r="R45" s="1">
        <v>8.4</v>
      </c>
    </row>
    <row r="46" spans="1:18" x14ac:dyDescent="0.25">
      <c r="A46" s="7">
        <v>15</v>
      </c>
      <c r="B46" s="7">
        <v>3</v>
      </c>
      <c r="C46" s="1">
        <v>0.36</v>
      </c>
      <c r="D46" s="8">
        <v>0.28499999999999998</v>
      </c>
      <c r="E46" s="8">
        <v>7.4999999999999997E-2</v>
      </c>
      <c r="F46" s="1">
        <v>3.25</v>
      </c>
      <c r="G46" s="8">
        <v>2.25</v>
      </c>
      <c r="H46" s="8">
        <v>1</v>
      </c>
      <c r="I46" s="8">
        <v>0.02</v>
      </c>
      <c r="J46" s="1">
        <f t="shared" si="10"/>
        <v>0.11076923076923076</v>
      </c>
      <c r="K46" s="1">
        <f t="shared" si="10"/>
        <v>0.12666666666666665</v>
      </c>
      <c r="L46" s="8">
        <f t="shared" si="6"/>
        <v>20</v>
      </c>
      <c r="M46" s="1">
        <f t="shared" si="7"/>
        <v>7.1999999999999995E-2</v>
      </c>
      <c r="N46" s="1">
        <f t="shared" si="8"/>
        <v>681.80399999999997</v>
      </c>
      <c r="O46" s="8">
        <v>0.14249999999999999</v>
      </c>
      <c r="P46" s="8">
        <v>0.11</v>
      </c>
      <c r="Q46" s="8">
        <f t="shared" si="9"/>
        <v>11</v>
      </c>
      <c r="R46" s="8">
        <v>8.4</v>
      </c>
    </row>
    <row r="47" spans="1:18" x14ac:dyDescent="0.25">
      <c r="A47" s="5">
        <v>16</v>
      </c>
      <c r="B47" s="5">
        <v>1</v>
      </c>
      <c r="C47" s="6">
        <v>0.6712499999999999</v>
      </c>
      <c r="D47" s="6">
        <v>0.63249999999999995</v>
      </c>
      <c r="E47" s="6">
        <v>3.875E-2</v>
      </c>
      <c r="F47" s="6">
        <v>4.75</v>
      </c>
      <c r="G47" s="6">
        <v>2.75</v>
      </c>
      <c r="H47" s="6">
        <v>2</v>
      </c>
      <c r="I47" s="6">
        <v>0.02</v>
      </c>
      <c r="J47" s="6">
        <f t="shared" si="10"/>
        <v>0.1413157894736842</v>
      </c>
      <c r="K47" s="6">
        <f t="shared" si="10"/>
        <v>0.22999999999999998</v>
      </c>
      <c r="L47" s="6">
        <f t="shared" si="6"/>
        <v>20</v>
      </c>
      <c r="M47" s="6">
        <f t="shared" si="7"/>
        <v>0.13424999999999998</v>
      </c>
      <c r="N47" s="6">
        <f t="shared" si="8"/>
        <v>1271.2803749999998</v>
      </c>
      <c r="O47" s="6">
        <v>0.31125000000000003</v>
      </c>
      <c r="P47" s="6">
        <v>0.16</v>
      </c>
      <c r="Q47" s="1">
        <f t="shared" si="9"/>
        <v>16</v>
      </c>
      <c r="R47" s="1">
        <v>9</v>
      </c>
    </row>
    <row r="48" spans="1:18" x14ac:dyDescent="0.25">
      <c r="A48">
        <v>16</v>
      </c>
      <c r="B48">
        <v>2</v>
      </c>
      <c r="C48" s="1">
        <v>0.4425</v>
      </c>
      <c r="D48" s="1">
        <v>0.24249999999999999</v>
      </c>
      <c r="E48" s="1">
        <v>0.2</v>
      </c>
      <c r="F48" s="1">
        <v>2</v>
      </c>
      <c r="G48" s="1">
        <v>1.5</v>
      </c>
      <c r="H48" s="1">
        <v>0.5</v>
      </c>
      <c r="I48" s="1">
        <v>2.5000000000000001E-2</v>
      </c>
      <c r="J48" s="1">
        <f t="shared" si="10"/>
        <v>0.22125</v>
      </c>
      <c r="K48" s="1">
        <f t="shared" si="10"/>
        <v>0.16166666666666665</v>
      </c>
      <c r="L48" s="1">
        <f t="shared" si="6"/>
        <v>25</v>
      </c>
      <c r="M48" s="1">
        <f t="shared" si="7"/>
        <v>0.110625</v>
      </c>
      <c r="N48" s="1">
        <f t="shared" si="8"/>
        <v>1047.5634375</v>
      </c>
      <c r="O48" s="1">
        <v>0.17874999999999999</v>
      </c>
      <c r="P48" s="1">
        <v>0.13500000000000001</v>
      </c>
      <c r="Q48" s="1">
        <f t="shared" si="9"/>
        <v>13.5</v>
      </c>
      <c r="R48" s="1">
        <v>7.4</v>
      </c>
    </row>
    <row r="49" spans="1:18" x14ac:dyDescent="0.25">
      <c r="A49" s="7">
        <v>16</v>
      </c>
      <c r="B49" s="7">
        <v>3</v>
      </c>
      <c r="C49" s="1">
        <v>0.44874999999999998</v>
      </c>
      <c r="D49" s="8">
        <v>0.34875</v>
      </c>
      <c r="E49" s="8">
        <v>0.1</v>
      </c>
      <c r="F49" s="1">
        <v>2.25</v>
      </c>
      <c r="G49" s="8">
        <v>2</v>
      </c>
      <c r="H49" s="8">
        <v>0.25</v>
      </c>
      <c r="I49" s="8">
        <v>0.02</v>
      </c>
      <c r="J49" s="1">
        <f t="shared" si="10"/>
        <v>0.19944444444444442</v>
      </c>
      <c r="K49" s="1">
        <f t="shared" si="10"/>
        <v>0.174375</v>
      </c>
      <c r="L49" s="8">
        <f t="shared" si="6"/>
        <v>20</v>
      </c>
      <c r="M49" s="1">
        <f t="shared" si="7"/>
        <v>8.9749999999999996E-2</v>
      </c>
      <c r="N49" s="1">
        <f t="shared" si="8"/>
        <v>849.88762499999996</v>
      </c>
      <c r="O49" s="8">
        <v>5.3749999999999999E-2</v>
      </c>
      <c r="P49" s="8">
        <v>0.06</v>
      </c>
      <c r="Q49" s="8">
        <f t="shared" si="9"/>
        <v>6</v>
      </c>
      <c r="R49" s="8">
        <v>9.5</v>
      </c>
    </row>
    <row r="50" spans="1:18" x14ac:dyDescent="0.25">
      <c r="A50" s="5">
        <v>17</v>
      </c>
      <c r="B50" s="5">
        <v>1</v>
      </c>
      <c r="C50" s="6">
        <v>0.38875000000000004</v>
      </c>
      <c r="D50" s="6">
        <v>0.16375000000000001</v>
      </c>
      <c r="E50" s="6">
        <v>0.22500000000000001</v>
      </c>
      <c r="F50" s="6">
        <v>2</v>
      </c>
      <c r="G50" s="6">
        <v>0.75</v>
      </c>
      <c r="H50" s="6">
        <v>1.25</v>
      </c>
      <c r="I50" s="6">
        <v>0.03</v>
      </c>
      <c r="J50" s="6">
        <f>C50/F50</f>
        <v>0.19437500000000002</v>
      </c>
      <c r="K50" s="6">
        <f t="shared" si="10"/>
        <v>0.21833333333333335</v>
      </c>
      <c r="L50" s="6">
        <f t="shared" si="6"/>
        <v>30</v>
      </c>
      <c r="M50" s="6">
        <f t="shared" si="7"/>
        <v>0.11662500000000002</v>
      </c>
      <c r="N50" s="6">
        <f t="shared" si="8"/>
        <v>1104.3804375000002</v>
      </c>
      <c r="O50" s="6">
        <v>2.4049999999999998</v>
      </c>
      <c r="P50" s="6">
        <v>0.14499999999999999</v>
      </c>
      <c r="Q50" s="1">
        <f t="shared" si="9"/>
        <v>14.499999999999998</v>
      </c>
      <c r="R50" s="1">
        <v>8.4</v>
      </c>
    </row>
    <row r="51" spans="1:18" x14ac:dyDescent="0.25">
      <c r="A51">
        <v>17</v>
      </c>
      <c r="B51">
        <v>2</v>
      </c>
      <c r="C51" s="1">
        <v>0.58749999999999991</v>
      </c>
      <c r="D51" s="1">
        <v>0.35</v>
      </c>
      <c r="E51" s="1">
        <v>0.23749999999999999</v>
      </c>
      <c r="F51" s="1">
        <v>2.75</v>
      </c>
      <c r="G51" s="1">
        <v>2</v>
      </c>
      <c r="H51" s="1">
        <v>0.75</v>
      </c>
      <c r="I51" s="1">
        <v>2.5000000000000001E-2</v>
      </c>
      <c r="J51" s="1">
        <f>C51/F51</f>
        <v>0.2136363636363636</v>
      </c>
      <c r="K51" s="1">
        <f>D51/G51</f>
        <v>0.17499999999999999</v>
      </c>
      <c r="L51" s="1">
        <f t="shared" si="6"/>
        <v>25</v>
      </c>
      <c r="M51" s="1">
        <f t="shared" si="7"/>
        <v>0.14687499999999998</v>
      </c>
      <c r="N51" s="1">
        <f t="shared" si="8"/>
        <v>1390.8328124999998</v>
      </c>
      <c r="O51" s="1">
        <v>0.92</v>
      </c>
      <c r="P51" s="1">
        <v>0.15</v>
      </c>
      <c r="Q51" s="1">
        <f t="shared" si="9"/>
        <v>15</v>
      </c>
      <c r="R51" s="1">
        <v>8.1999999999999993</v>
      </c>
    </row>
    <row r="52" spans="1:18" x14ac:dyDescent="0.25">
      <c r="A52" s="7">
        <v>17</v>
      </c>
      <c r="B52" s="7">
        <v>3</v>
      </c>
      <c r="C52" s="1">
        <v>0.19999999999999998</v>
      </c>
      <c r="D52" s="8">
        <v>0.17249999999999999</v>
      </c>
      <c r="E52" s="8">
        <v>2.75E-2</v>
      </c>
      <c r="F52" s="1">
        <v>3</v>
      </c>
      <c r="G52" s="8">
        <v>2</v>
      </c>
      <c r="H52" s="8">
        <v>1</v>
      </c>
      <c r="I52" s="8">
        <v>2.5000000000000001E-2</v>
      </c>
      <c r="J52" s="1">
        <f t="shared" si="10"/>
        <v>6.6666666666666666E-2</v>
      </c>
      <c r="K52" s="1">
        <f t="shared" si="10"/>
        <v>8.6249999999999993E-2</v>
      </c>
      <c r="L52" s="8">
        <f t="shared" si="6"/>
        <v>25</v>
      </c>
      <c r="M52" s="1">
        <f t="shared" si="7"/>
        <v>0.05</v>
      </c>
      <c r="N52" s="1">
        <f t="shared" si="8"/>
        <v>473.47500000000002</v>
      </c>
      <c r="O52" s="8">
        <v>1.9325000000000001</v>
      </c>
      <c r="P52" s="8">
        <v>0.155</v>
      </c>
      <c r="Q52" s="8">
        <f t="shared" si="9"/>
        <v>15.5</v>
      </c>
      <c r="R52" s="8">
        <v>9.4</v>
      </c>
    </row>
    <row r="53" spans="1:18" x14ac:dyDescent="0.25">
      <c r="A53" s="5">
        <v>18</v>
      </c>
      <c r="B53" s="5">
        <v>1</v>
      </c>
      <c r="C53" s="6">
        <v>0.36499999999999999</v>
      </c>
      <c r="D53" s="6">
        <v>0.33875</v>
      </c>
      <c r="E53" s="6">
        <v>2.6249999999999999E-2</v>
      </c>
      <c r="F53" s="6">
        <v>2.75</v>
      </c>
      <c r="G53" s="6">
        <v>2</v>
      </c>
      <c r="H53" s="6">
        <v>0.75</v>
      </c>
      <c r="I53" s="6">
        <v>2.5000000000000001E-2</v>
      </c>
      <c r="J53" s="6">
        <f t="shared" si="10"/>
        <v>0.13272727272727272</v>
      </c>
      <c r="K53" s="6">
        <f t="shared" si="10"/>
        <v>0.169375</v>
      </c>
      <c r="L53" s="6">
        <f t="shared" si="6"/>
        <v>25</v>
      </c>
      <c r="M53" s="6">
        <f t="shared" si="7"/>
        <v>9.1249999999999998E-2</v>
      </c>
      <c r="N53" s="6">
        <f t="shared" si="8"/>
        <v>864.09187499999996</v>
      </c>
      <c r="O53" s="6">
        <v>0.27</v>
      </c>
      <c r="P53" s="9">
        <v>0.20499999999999999</v>
      </c>
      <c r="Q53" s="1">
        <f t="shared" si="9"/>
        <v>20.5</v>
      </c>
      <c r="R53" s="3">
        <v>9.1</v>
      </c>
    </row>
    <row r="54" spans="1:18" x14ac:dyDescent="0.25">
      <c r="A54">
        <v>18</v>
      </c>
      <c r="B54">
        <v>2</v>
      </c>
      <c r="C54" s="1">
        <v>0.5625</v>
      </c>
      <c r="D54" s="1">
        <v>0.52500000000000002</v>
      </c>
      <c r="E54" s="1">
        <v>3.7499999999999999E-2</v>
      </c>
      <c r="F54" s="1">
        <v>4.25</v>
      </c>
      <c r="G54" s="1">
        <v>3</v>
      </c>
      <c r="H54" s="1">
        <v>1.25</v>
      </c>
      <c r="I54" s="1">
        <v>0.03</v>
      </c>
      <c r="J54" s="1">
        <f t="shared" si="10"/>
        <v>0.13235294117647059</v>
      </c>
      <c r="K54" s="1">
        <f t="shared" si="10"/>
        <v>0.17500000000000002</v>
      </c>
      <c r="L54" s="1">
        <f t="shared" si="6"/>
        <v>30</v>
      </c>
      <c r="M54" s="1">
        <f t="shared" si="7"/>
        <v>0.16875000000000001</v>
      </c>
      <c r="N54" s="1">
        <f t="shared" si="8"/>
        <v>1597.9781250000001</v>
      </c>
      <c r="O54" s="1">
        <v>0.38624999999999998</v>
      </c>
      <c r="P54" s="1">
        <v>0.2</v>
      </c>
      <c r="Q54" s="1">
        <f t="shared" si="9"/>
        <v>20</v>
      </c>
      <c r="R54" s="1">
        <v>8.6999999999999993</v>
      </c>
    </row>
    <row r="55" spans="1:18" x14ac:dyDescent="0.25">
      <c r="A55" s="7">
        <v>18</v>
      </c>
      <c r="B55" s="7">
        <v>3</v>
      </c>
      <c r="C55" s="8">
        <v>0.24249999999999999</v>
      </c>
      <c r="D55" s="8">
        <v>0.16750000000000001</v>
      </c>
      <c r="E55" s="8">
        <v>7.4999999999999997E-2</v>
      </c>
      <c r="F55" s="8">
        <v>1.5</v>
      </c>
      <c r="G55" s="8">
        <v>1.25</v>
      </c>
      <c r="H55" s="8">
        <v>0.25</v>
      </c>
      <c r="I55" s="8">
        <v>2.5000000000000001E-2</v>
      </c>
      <c r="J55" s="8">
        <f t="shared" si="10"/>
        <v>0.16166666666666665</v>
      </c>
      <c r="K55" s="8">
        <f t="shared" si="10"/>
        <v>0.13400000000000001</v>
      </c>
      <c r="L55" s="8">
        <f t="shared" si="6"/>
        <v>25</v>
      </c>
      <c r="M55" s="8">
        <f t="shared" si="7"/>
        <v>6.0624999999999998E-2</v>
      </c>
      <c r="N55" s="8">
        <f t="shared" si="8"/>
        <v>574.08843749999994</v>
      </c>
      <c r="O55" s="8">
        <v>0.50249999999999995</v>
      </c>
      <c r="P55" s="8">
        <v>0.20499999999999999</v>
      </c>
      <c r="Q55" s="8">
        <f t="shared" si="9"/>
        <v>20.5</v>
      </c>
      <c r="R55" s="8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Edvaldo Aldo Litos Paulo Nhanombe</dc:creator>
  <cp:lastModifiedBy>Alan Rodrigo Panosso</cp:lastModifiedBy>
  <dcterms:created xsi:type="dcterms:W3CDTF">2024-10-16T01:26:18Z</dcterms:created>
  <dcterms:modified xsi:type="dcterms:W3CDTF">2026-01-27T13:26:32Z</dcterms:modified>
</cp:coreProperties>
</file>